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tos" sheetId="1" r:id="rId4"/>
    <sheet state="visible" name="Em Andamento" sheetId="2" r:id="rId5"/>
    <sheet state="visible" name="Finalizados" sheetId="3" r:id="rId6"/>
    <sheet state="visible" name="Painel" sheetId="4" r:id="rId7"/>
    <sheet state="visible" name="Resumo" sheetId="5" r:id="rId8"/>
    <sheet state="hidden" name="Listas" sheetId="6" r:id="rId9"/>
  </sheets>
  <definedNames>
    <definedName hidden="1" localSheetId="0" name="_xlnm._FilterDatabase">Projetos!$A$5:$Z$35</definedName>
  </definedNames>
  <calcPr/>
  <extLst>
    <ext uri="GoogleSheetsCustomDataVersion2">
      <go:sheetsCustomData xmlns:go="http://customooxmlschemas.google.com/" r:id="rId10" roundtripDataChecksum="xBPhl3X5bcNHnLsyZGIE071V14ZS3mrV1kxHkHaAX4M="/>
    </ext>
  </extLst>
</workbook>
</file>

<file path=xl/sharedStrings.xml><?xml version="1.0" encoding="utf-8"?>
<sst xmlns="http://schemas.openxmlformats.org/spreadsheetml/2006/main" count="649" uniqueCount="200">
  <si>
    <t>NIE - Portfólio de Projetos — Melhorias ao Sistema da Addvalora - Início: 02/01/2026</t>
  </si>
  <si>
    <t>Ir para: Painel | Resumo</t>
  </si>
  <si>
    <t>Resumo</t>
  </si>
  <si>
    <t>Nº</t>
  </si>
  <si>
    <t>Projeto (Título)</t>
  </si>
  <si>
    <t>Projeto (Descrição)</t>
  </si>
  <si>
    <t>Motivos</t>
  </si>
  <si>
    <t>Benefícios</t>
  </si>
  <si>
    <t>Status / Fase</t>
  </si>
  <si>
    <t>Solicitante</t>
  </si>
  <si>
    <t>Tipo</t>
  </si>
  <si>
    <t>Previsão de Término</t>
  </si>
  <si>
    <t>Impacto</t>
  </si>
  <si>
    <t>Público-alvo</t>
  </si>
  <si>
    <t>Observação</t>
  </si>
  <si>
    <t>Automação de Garantia</t>
  </si>
  <si>
    <t>Projeto 1: Esse projeto consiste em um script automatiza a criação de um relatório diário de pendências de e-mails, consolidando informações importantes em uma planilha do Google Sheets.</t>
  </si>
  <si>
    <t>O foco da automação de Garantia é buscar e-mails não respondidos de caixas departamentais específicas.</t>
  </si>
  <si>
    <t>O projeto soluciona a triagem manual ao centralizar e-mails pendentes, acelerando respostas e garantindo o cumprimento de SLAs com visibilidade total sobre atrasos em tempo real.</t>
  </si>
  <si>
    <t>Monitoramento</t>
  </si>
  <si>
    <t>Rebeca Hilcko - Garantia</t>
  </si>
  <si>
    <t>Contínuo</t>
  </si>
  <si>
    <t>Não Há</t>
  </si>
  <si>
    <t>Nível 4 – Estratégico</t>
  </si>
  <si>
    <t>Garantia - Addvalora Brasil</t>
  </si>
  <si>
    <t>Automação Robô HDI</t>
  </si>
  <si>
    <t>Projeto 2: Mensagens - Esse projeto consiste em O robô identifica e-mails com o assunto "HDI SEGUROS Mensagem - N° do sinistro" que chegam na caixa @brasil e os redireciona automaticamente para a caixa departamental (backofficebrasil@addvaloraglobal.com).</t>
  </si>
  <si>
    <t>O processo dependia de uma triagem manual constante na caixa principal que recebe um volume massivo de e-mails diversos. Ou seja para solucionar e facilitar o problema real de perda de prazos e garantir que as tratativas sigam o fluxo correto sem que a falha humana ocorra.</t>
  </si>
  <si>
    <t>Essa automação extingue retenções no fluxo de entrada ao direcionar demandas da HDI instantaneamente à equipe, sem triagem manual. Blinda a operação contra o esquecimento de mensagens e assegura o cumprimento de SLAs.</t>
  </si>
  <si>
    <t>Clark Pellegrino - Property</t>
  </si>
  <si>
    <t>Property/RCG - Addvalora Brasil</t>
  </si>
  <si>
    <t>Automação Email Brasil</t>
  </si>
  <si>
    <t>Projeto 3: Distribuições de acionamento - Estamos desenvolvendo uma solução utilizando IA, AppScript e Google Sheets para enviar automaticamente e-mails de acionamentos que não exigem entrada no sistema da seguradora para as operações corretas. Além disso, a automação lê os e-mails enviados e alimenta uma planilha de controle automaticamente com os casos abertos.</t>
  </si>
  <si>
    <t>Para eliminar o problema da distribuição manual de acionamentos, onde a triagem humana constante gerava latência no repasse e riscos de esquecimento, impedindo que a operação iniciasse o trabalho de forma imediata.</t>
  </si>
  <si>
    <t>Retira as retenções operacionais causadas pela distribuição manual, garantindo que os acionamentos cheguem à operação de forma instantânea e sem erros de triagem. Ao integrar a leitura de e-mails com o preenchimento automático da planilha, o projeto assegura a integridade do controle de casos abertos e acelera o fluxo de trabalho.</t>
  </si>
  <si>
    <t>Núcleo de Inteligência Estratégica – NIE</t>
  </si>
  <si>
    <t>Addvalora Brasil</t>
  </si>
  <si>
    <t>Automação de Prazos</t>
  </si>
  <si>
    <t>Projeto 4: Com esse projeto Desenvolvendo uma automação via Google Apps Script integrada ao Google Sheets e Gmail.
Criação de um botão para importação de dados do Baruc (via Dump CSV) que preserva notas manuais.
Implementação de cálculo automático de prazos em dias úteis. Configuração de gatilhos (triggers) para disparo diário de alertas por e-mail.</t>
  </si>
  <si>
    <t>Para mitigar o problema real de controle manual de prazos (D+2), que hoje gera riscos regulatórios e retrabalho constante na atualização da planilha Baruc. A dependência de processos manuais impede uma visão preditiva do fluxo, expondo a operação a multas por atrasos e sobrecarregando o time com a conciliação repetitiva de dados que já existem no sistema, mas não "conversam" com a gestão de alertas.</t>
  </si>
  <si>
    <t>Essa automação elimina a gestão reativa e as falhas de monitoramento ao substituir o controle manual por um sistema de alertas precisos e automáticos. Garante o cálculo exato de prazos em dias úteis, o projeto blinda a operação contra multas regulatórias e extingue o retrabalho de conciliação de dados.</t>
  </si>
  <si>
    <t>Concluído</t>
  </si>
  <si>
    <t>Marcos Araújo - Property</t>
  </si>
  <si>
    <t>Property - Addvalora Brasil</t>
  </si>
  <si>
    <t>Automação de Solitações de email/acessos</t>
  </si>
  <si>
    <t>Projeto 5: Implementação de um robô via Apps Script operando 24h sob a conta do Eduardo Piana. O sistema identifica solicitações de código de acesso por e-mail, registra automaticamente em uma planilha de controle de acessos e distribui as informações necessárias sem intervenção humana.</t>
  </si>
  <si>
    <t>Eliminar a barreira de produtividade causada pela distribuição manual de códigos. A automação resolve a interrupção constante no trabalho da assistente e garante que a equipe não fique paralisada aguardando liberações em horários de pico ou após o expediente.</t>
  </si>
  <si>
    <t>Elimina a dependência humana e as obstruções de espera ao garantir autonomia total para a equipe acessar os sistemas em qualquer horário. Ao automatizar a distribuição e o registro de logs, o projeto libera a assistente de interrupções constantes e assegura a continuidade da operação.</t>
  </si>
  <si>
    <t>Luciana Hey - COO Brasil</t>
  </si>
  <si>
    <t>Projeto</t>
  </si>
  <si>
    <t>H.I.D.R.A Core - RH/Financeiro</t>
  </si>
  <si>
    <t>Projeto 6: Criando um ecossistema de dados que centraliza as bases das Diretorias Técnicas (Clark, Paulo, Rebeca, Alex e Everton) em um repositório único.
Utilização de Apps Script e AppSheet para interface e validação.
Armazenamento no BigQuery e visualização via Looker Studio.
Implementação de IA para análise preditiva de prazos.</t>
  </si>
  <si>
    <t>Para resolver o problema real de fragmentação de dados e latência nos KPIs. O processo manual atual consome tempo excessivo, gera riscos de erros nos reports e atrasa decisões da diretoria. Essa descentralização impede uma visão produtiva da operação, forçando os gestores a trabalharem com dados defasados e inconsistentes, isso compromete a agilidade na correção de desvios em tempo real.</t>
  </si>
  <si>
    <t>Essa solução elimina a fragmentação de dados e a latência de atualização, garantindo que a diretoria tome decisões baseadas em indicadores em tempo real em vez de relatórios defasados. Ao centralizar as bases e validar a integridade das informações automaticamente, com o tempo gasto com consolidação manual e reduz  o risco de erros nos painéis.</t>
  </si>
  <si>
    <t>Planejamento</t>
  </si>
  <si>
    <t xml:space="preserve"> Automação Axa, Envio Automático de NF e Folhas de Rosto</t>
  </si>
  <si>
    <t>Projeto 7: Desenvolvimento de um robô via Google Apps Script que
Identifica e correlaciona Notas Fiscais e Folhas de Rosto (mesmo número em formatos PDF e Excel).
Anexa os arquivos corretos e envia para o destinatário específico.
Gera e salva um registro em PDF de cada e-mail enviado dentro do Google Drive para fins de auditoria.</t>
  </si>
  <si>
    <t>Esse projeto visa resolver o problema real de volume e tempo. O processo manual exigiria o envio individual de cerca de 300 e-mails em apenas 36 horas, o que seria humanamente impossível sem erros ou atrasos.Além da inviabilidade logística, o esforço manual repetitivo sob pressão de prazo aumentaria drasticamente o risco de anexos trocados ou e-mails esquecidos, o que compromete diretamente o fluxo de recebimento e a saúde financeira da operação.</t>
  </si>
  <si>
    <t>Proporciona uma redução de 85% no tempo de execução, permitindo que uma tarefa de 36 horas seja concluída com precisão absoluta em uma fração do tempo. A automação garante o pareamento correto de arquivos e cria um registro automático de envios no Drive, assegurando a conformidade do processo e acelerando o ciclo de faturamento da empresa.</t>
  </si>
  <si>
    <t>Stephany Miara - Garantia</t>
  </si>
  <si>
    <t>Nível 3 – Avançado</t>
  </si>
  <si>
    <t>Automação de Separação de Currículos</t>
  </si>
  <si>
    <t>Projeto 8: Esta solução soluciona a realização automática e a análise e triagem automática de currículos conforme os requisitos de cada perfil. O projeto extingue a organização manual de arquivos ao renomear e salvar automaticamente os anexos recebidos por e-mail, garantindo uma base de candidatos padronizada e de fácil consulta.</t>
  </si>
  <si>
    <t>Os principais motivos para implementar essa automação são a necessidade de reduzir o tempo gasto com tarefas manuais, evitar erros na organização de currículos e lidar com grandes volumes de candidatos de forma mais eficiente. Além disso, a automação ajuda a padronizar os arquivos recebidos, facilitar a busca por perfis específicos e tornar o processo de recrutamento mais rápido, organizado e estratégico.</t>
  </si>
  <si>
    <t>A automação da separação de currículos aumenta a eficiência do recrutamento ao realizar a triagem automática conforme os requisitos das vagas, reduzindo o tempo gasto em tarefas manuais. Além disso, organiza e padroniza os arquivos recebidos por e-mail, criando uma base de candidatos mais acessível, segura e fácil de consultar.</t>
  </si>
  <si>
    <t>Nível 1 – Essencial</t>
  </si>
  <si>
    <t>Divulgação para todos os diretores</t>
  </si>
  <si>
    <t>Addvalora News</t>
  </si>
  <si>
    <t>Projeto 9: Será um "Comunicado" mensal sobre o mercado de Seguro contendo todas as informações que ocoreram ao decorrer do mês, funcionará como algo similiar ao um jornal.</t>
  </si>
  <si>
    <t>O comunicado mensal sobre o mercado de seguros reúne as principais novidades e acontecimentos do mês, funcionando como um jornal interno. Ele mantém a equipe informada, facilita o acesso a dados.</t>
  </si>
  <si>
    <t>Consolida nossa autoridade técnica ao transformar dados complexos em curadoria estratégica, fortalecendo o relacionamento com clientes.</t>
  </si>
  <si>
    <t>Em Andamento</t>
  </si>
  <si>
    <t xml:space="preserve">DRL/SLA </t>
  </si>
  <si>
    <t>Projeto 10: Uma automação que faz a triagem e o controle de documentos, vinculado a isso existe uma dinâmica de controle de prazo de acompanhamento dos gestores, o andamento está em 80%.</t>
  </si>
  <si>
    <t>O projeto é uma automação para triagem e controle de documentos, que organiza os arquivos e monitora os prazos de acompanhamento pelos gestores. Com isso, o sistema garante que nenhuma tarefa ou prazo seja perdido, aumenta a eficiência na gestão de documentos e melhora o controle interno.</t>
  </si>
  <si>
    <t>Essa automação de triagem e controle de documentos oferece maior organização e padronização dos arquivos, facilitando o acesso e a consulta rápida às informações. Com o controle automático de prazos de acompanhamento pelos gestores, reduzem-se atrasos e esquecimentos, aumentando a eficiência.</t>
  </si>
  <si>
    <t>Alerta de Férias/Recessos</t>
  </si>
  <si>
    <t xml:space="preserve">Projeto 11: O projeto utiliza um robô de automação para registrar as férias dos colaboradores em uma planilha, eliminando a necessidade de preencher manualmente o Google Agenda. Além disso, o sistema envia avisos automáticos: um e-mail para o coordenador e diretor 5 dias antes do início das férias e outro aviso para o coordenador e o diretor 3 dias antes do retorno do colaborador, facilitando a organização e a comunicação. </t>
  </si>
  <si>
    <t>O desenvolvimento desse projeto tem como motivo principal reduzir o trabalho manual e o risco de erros no registro das férias, além de garantir que toda a equipe envolvida esteja informada sobre os períodos de afastamento e retorno dos colaboradores. Automatizar o processo também busca agilizar a comunicação interna e tornar o acompanhamento mais eficiente, sem depender de conferências ou lembretes manuais.</t>
  </si>
  <si>
    <t>Os benefícios incluem maior organização na gestão de férias, padronização dos registros, alertas automáticos que mantêm coordenadores e diretores informados, economia de tempo e redução de retrabalho. Isso resulta em um processo mais ágil, confiável e transparente, melhorando a produtividade e a coordenação entre setores.</t>
  </si>
  <si>
    <t>Addvalu</t>
  </si>
  <si>
    <t>Projeto 12: Com esse projeto de geração de vídeos personalizados com Inteligência Artificial da tem como objetivo automatizar a criação de conteúdos audiovisuais adaptados para diferentes públicos, clientes ou campanhas. Utilizando tecnologias de IA generativa, o sistema consegue transformar textos, dados ou informações específicas em vídeos completos, incluindo roteiro, narração, imagens, animações e até avatares digitais.</t>
  </si>
  <si>
    <t>Esse projeto de geração de vídeos personalizados com Inteligência Artificial tem como objetivo automatizar a criação de conteúdos audiovisuais adaptados para diferentes públicos, clientes ou campanhas, reduzindo a dependência de processos manuais de gravação e edição. A solução permite mensagens altamente customizadas e escaláveis, aumentando a eficiência e a flexibilidade na comunicação.</t>
  </si>
  <si>
    <t>A utilização de IA generativa possibilita transformar textos, dados e informações específicas em vídeos completos, incluindo roteiro, narração, imagens, animações e avatares digitais, garantindo maior engajamento do público. Além disso, o sistema otimiza tempo, reduz custos de produção, amplia a personalização e facilita a distribuição em larga escala.</t>
  </si>
  <si>
    <t>Assistente Virtual Baruc</t>
  </si>
  <si>
    <t>Projeto 13: O projeto consiste no desenvolvimento de um assistente virtual com Inteligência Artificial para auxiliar os usuários do sistema Baruc. Por meio de um chat interativo, os usuários podem fazer perguntas e receber orientações sobre como utilizar funcionalidades do sistema, realizar processos ou encontrar informações dentro da plataforma.</t>
  </si>
  <si>
    <t>O projeto consiste em um assistente virtual com Inteligência Artificial para o sistema Baruc, que permite aos usuários interagir por meio de um chat para esclarecer dúvidas, receber orientações sobre funcionalidades e ser guiado na realização de processos dentro da plataforma. O propósito da solução é garantir que os usuários consigam utilizar o sistema de forma mais eficiente e assertiva.</t>
  </si>
  <si>
    <t>Essa solução facilita a navegação, agiliza o acesso a informações e reduz a necessidade de suporte humano, proporcionando uma experiência mais eficiente e intuitiva para os usuários. Além disso, contribui para padronizar respostas, aumentar a autonomia e otimizar o atendimento interno, tornando o uso do sistema mais ágil e organizado.</t>
  </si>
  <si>
    <t xml:space="preserve">Alerta Google Drive e e-mail </t>
  </si>
  <si>
    <t>Projeto 14: Inclui uma automação que envia notificações por e-mail para a coordenadora sempre que houver qualquer alteração na planilha de férias/recesso. Dessa forma, sempre que um assistente inserir, editar ou atualizar alguma informação, a coordenadora é automaticamente informada.</t>
  </si>
  <si>
    <t>O sistema dispara automaticamente e-mails para a coordenadora sempre que a planilha de férias/recesso é alterada. Dessa forma, qualquer atualização feita por um assistente, seja inclusão ou edição de dados, é imediatamente comunicada.</t>
  </si>
  <si>
    <t>A vantagem dessa automação são significativos para a gestão de férias/recesso. Ela garante monitoramento contínuo e preciso das alterações na planilha, assegurando que todos os envolvidos estejam sempre atualizados. Além disso, reduz a ocorrência de erros manuais e retrabalho, aumentando a confiabilidade das informações registradas.</t>
  </si>
  <si>
    <t>Viviane da Cruz -Adminsitrativo</t>
  </si>
  <si>
    <t>Administrativo -Addvalora Brasil</t>
  </si>
  <si>
    <t>Planilha de Controle de Agenda de Peritos</t>
  </si>
  <si>
    <t>Projeto 15: Elaboração de planilha personalizada com automação de estimativa de valores orçamentários</t>
  </si>
  <si>
    <t>Organização de agenda e valores por perito envolvido no atendimento da demanda</t>
  </si>
  <si>
    <t>Facilitação da gestão do atendimento</t>
  </si>
  <si>
    <t>Rafael Hey - Addis</t>
  </si>
  <si>
    <t>Addis Latam</t>
  </si>
  <si>
    <t>Planilha RCV - AON</t>
  </si>
  <si>
    <t>Projeto 16: Elaboração de planilha via Looker Studio</t>
  </si>
  <si>
    <t>Organização automatica de informações via planilha</t>
  </si>
  <si>
    <t>Facilitação da gestão dos dados para apresentação ao parceiro</t>
  </si>
  <si>
    <t>Alex Guagliardi - RCG</t>
  </si>
  <si>
    <t>RCG - Addvalora Brasil</t>
  </si>
  <si>
    <t>Addvalu - HDI</t>
  </si>
  <si>
    <t>Projeto 17: Video com IA para divulgação interna/externa</t>
  </si>
  <si>
    <t>Video explicativo sobre as funcionalidades do Robô</t>
  </si>
  <si>
    <t>Facilitação do entendimento da organização da Cia</t>
  </si>
  <si>
    <t>HDI Seguros S/A</t>
  </si>
  <si>
    <t>Addvalu - Avla</t>
  </si>
  <si>
    <t>Projeto 18: Video com IA para divulgação interna/externa</t>
  </si>
  <si>
    <t>Facilitação do entendimento sobre a organização da Cia</t>
  </si>
  <si>
    <t>William Fernandez - CEO Brasil</t>
  </si>
  <si>
    <t>Avla Seguros S/A</t>
  </si>
  <si>
    <t>Addvalu - NotebookLm</t>
  </si>
  <si>
    <t>Projeto 19: Video com IA para divulgação interna/externa</t>
  </si>
  <si>
    <t>Video explicativo sobre as funcionalidades do APP</t>
  </si>
  <si>
    <t>Explicação Básica sobre o programa</t>
  </si>
  <si>
    <t>Projeto Avla</t>
  </si>
  <si>
    <t>Projeto 20: BPO - Addvalora X Avla</t>
  </si>
  <si>
    <t>Automação interna da caixa de distribuição de sinistros da Cia</t>
  </si>
  <si>
    <t xml:space="preserve">Otimização do fluxo de processos internos para facilitação da distribuição aos prestadores homologados </t>
  </si>
  <si>
    <t xml:space="preserve">Não Há </t>
  </si>
  <si>
    <t>Painel - SLA</t>
  </si>
  <si>
    <t>Projeto 21:  Organização interna da documentação referente às SLA's das Seguradoras</t>
  </si>
  <si>
    <t>Melhora/facilitação do acesso as informações referentes às regras estabelecidas pelas Seguradoras</t>
  </si>
  <si>
    <t>Painel - Instituto</t>
  </si>
  <si>
    <t>Projeto 22:  Organização interna da documentação referente ao Instituto Addvalora</t>
  </si>
  <si>
    <t>Melhora/facilitação do acesso aos materiais de estudo interno</t>
  </si>
  <si>
    <t>Instituto - Addvalora Brasil</t>
  </si>
  <si>
    <t>Assistente de Regulação</t>
  </si>
  <si>
    <t>Projeto 23: Video com IA para apresentação de relatórios de sinistro</t>
  </si>
  <si>
    <t>Video explicativo sobre o processo de regulação</t>
  </si>
  <si>
    <t>Facilitação do entendimento sobre o processo de regulação de sinistro</t>
  </si>
  <si>
    <t>Fairfax Seguros S/A</t>
  </si>
  <si>
    <t>Addvalu - Espanha</t>
  </si>
  <si>
    <t>Projeto 24: Elaboração de video personalizado para a Matriz</t>
  </si>
  <si>
    <t>Divulgação Global dos resultados do Grupo Addvalora</t>
  </si>
  <si>
    <t>Francesc Llurba
CEO Middle Market</t>
  </si>
  <si>
    <t>Addvalora Global</t>
  </si>
  <si>
    <t>Painel de controle de Acionamentos Brasil</t>
  </si>
  <si>
    <t>Projeto 25: Painel de controle de Acionamentos Brasil</t>
  </si>
  <si>
    <t>Estruturação de painel gerencial para consolidação, organização e visualização dos acionamentos recebidos das Seguradoras em âmbito nacional</t>
  </si>
  <si>
    <t>Monitoramento quantitativo e comparativo dos recebimentos por seguradora, diretoria e origem relacional, com foco na identificação de oscilações de demanda, eventuais quedas ou aumentos de fluxo, possíveis gargalos operacionais e geração de inteligência para suporte à tomada de decisão estratégica, comercial e operacional</t>
  </si>
  <si>
    <t>COO - Addvalora Brasil</t>
  </si>
  <si>
    <t>07/04/2026 Projeto em desenvolvimento pela equipe TI Espanha.Próxima reunião 13/04/2026 iremos apresentar o Dash como sugestão e ponhtos importantes que precisamos.</t>
  </si>
  <si>
    <t>Painel de Resultados e Valores /Informe Semanal</t>
  </si>
  <si>
    <t>Projeto 26: Painel de Resultados e Números</t>
  </si>
  <si>
    <t>Estruturação de painel executivo para consolidação, organização e visualização estratégica do faturamento interno por equipe em âmbito nacional, permitindo análise comparativa de performance, identificação de variações de resultado e geração de inteligência para suporte à tomada de decisão.</t>
  </si>
  <si>
    <t>Necessidade de centralização e padronização das informações de faturamento, atualmente dispersas, dificultando a análise de performance por equipe e a identificação de variações de resultado.</t>
  </si>
  <si>
    <t>CEO - Addvalora Brasil</t>
  </si>
  <si>
    <t>Execução condicionada à conclusão do projeto 25 de melhoria na visibilidade gerencial do faturamento, identificação de equipes com maior ou menor performance, detecção de variações de receita e suporte à tomada de decisão estratégica, comercial e operacional.</t>
  </si>
  <si>
    <t>Verificação Automática de Dados Financeiros</t>
  </si>
  <si>
    <t>Projeto 27: Automação automática de verificação e preenchimento de planilha para conferência de dados financeiros</t>
  </si>
  <si>
    <t>Necessidade de ganho de agilidade no processo de conferência e preenchimento de dados financeiros, reduzindo o tempo de execução e aumentando a eficiência operacional.</t>
  </si>
  <si>
    <t>Maior rapidez no processamento e validação das informações, otimização do tempo das equipes, aumento de produtividade e suporte mais ágil à tomada de decisão.</t>
  </si>
  <si>
    <t>Max - CFO Brasil</t>
  </si>
  <si>
    <t>Em estudo</t>
  </si>
  <si>
    <t>CFO - Addvalora Brasil</t>
  </si>
  <si>
    <t>Automação RCP</t>
  </si>
  <si>
    <t>Projeto 28: Automação do envio de comunicações aos reguladores no fluxo de RCP, com monitoramento automatizado de respostas e controle das interações realizadas</t>
  </si>
  <si>
    <t>Necessidade de ganho de agilidade e organização no envio de e-mails aos reguladores, garantindo padronização das comunicações e melhor acompanhamento das respostas</t>
  </si>
  <si>
    <t>Maior rapidez no envio das comunicações, controle e rastreabilidade das respostas, otimização do tempo operacional e melhoria na gestão e acompanhamento das demandas</t>
  </si>
  <si>
    <t>Everton - RCP Brasil</t>
  </si>
  <si>
    <t>RCP - Addvalora Brasil</t>
  </si>
  <si>
    <t>Projeto 29: Automação do fluxo de solicitação de viagens, pernoites e deslocamentos</t>
  </si>
  <si>
    <t>Estruturação de workflow completo para solicitação de passagens aéreas, reservas de hotel, locação de veículos e demais demandas de deslocamento, com padronização das solicitações e acompanhamento do fluxo</t>
  </si>
  <si>
    <t>Necessidade de organizar e dar mais agilidade ao processo de solicitação de viagens, garantindo padronização das informações e melhor controle das demandas</t>
  </si>
  <si>
    <t>Maior rapidez e organização nas solicitações, padronização do processo, melhor controle e rastreabilidade das demandas, além de otimização do tempo das equipes envolvidas</t>
  </si>
  <si>
    <t>Projeto 30: Criação de Módulo de Capacitação em IA</t>
  </si>
  <si>
    <t>Estruturação de um módulo de capacitação institucional voltado à disseminação prática do uso de ferramentas de inteligência artificial e automação no contexto operacional da empresa.
O projeto contempla a criação de conteúdos didáticos, definição de perfis operacionais (Gems), desenvolvimento de scripts e organização de trilhas curtas de aprendizagem, com foco em aplicação real no dia a dia das operações.</t>
  </si>
  <si>
    <t>Necessidade de capacitar as equipes para utilização estruturada de ferramentas de IA, padronizar abordagens operacionais e ampliar o nível de maturidade tecnológica da empresa, alinhando conhecimento prático com os projetos conduzidos pelo NIE.</t>
  </si>
  <si>
    <t>Padronização do uso de ferramentas de IA nas operações.
Ganho de eficiência na execução de atividades operacionais e administrativas.
Redução de retrabalho e melhoria na qualidade das entregas.
Aceleração da curva de aprendizado das equipes.
Fortalecimento da cultura de inovação e automação.</t>
  </si>
  <si>
    <t>Em desenvolvimento</t>
  </si>
  <si>
    <t>DRL/SLA Garantia</t>
  </si>
  <si>
    <t>Painel de Resultados e Valores</t>
  </si>
  <si>
    <t>Painel (Dashboard)</t>
  </si>
  <si>
    <t>Acessos rápidos: Projetos | Resumo</t>
  </si>
  <si>
    <t>Total de projetos</t>
  </si>
  <si>
    <t>Concluídos</t>
  </si>
  <si>
    <t>Em andamento</t>
  </si>
  <si>
    <t>Resumo dos Projetos</t>
  </si>
  <si>
    <t>Ir para: Painel | Projetos</t>
  </si>
  <si>
    <t>Projetos</t>
  </si>
  <si>
    <t>Qtd.</t>
  </si>
  <si>
    <t>Em Desenvolvimento</t>
  </si>
  <si>
    <t>Total</t>
  </si>
  <si>
    <t>Nível 2 – Intermediário</t>
  </si>
  <si>
    <t>Projeto de impacto transversal e estrutural, com reflexos amplos no funcionamento da Addvalora. Envolve solução que reorganiza, aprimora ou sustenta a operação de forma geral, com benefício corporativo relevante e potencial de influenciar a eficiência da empresa como um todo</t>
  </si>
  <si>
    <t>Projeto de impacto amplo, com capacidade de endereçar de forma mais definitiva determinada demanda operacional ou estruturar uma solução-base passível de replicação para outras operações. Representa iniciativa com vocação de expansão, padronização ou consolidação de melhorias relevantes em diferentes frentes.</t>
  </si>
  <si>
    <t>Projeto com impacto mais abrangente, embora ainda segmentado. Atua na solução de problemas operacionais identificados em determinada frente, área ou processo, com potencial de reduzir volume operacional, retrabalho ou ineficiências, ainda sem alcance transversal para toda a companhia.</t>
  </si>
  <si>
    <t>Projeto de impacto pontual, normalmente direcionado a uma operação, rotina ou necessidade específica. Produz efeito localizado, com melhoria objetiva em determinado fluxo ou demanda, sem alterar de forma relevante outras frentes da empresa.</t>
  </si>
  <si>
    <t>Status</t>
  </si>
  <si>
    <t>Em curso</t>
  </si>
  <si>
    <t>Desenvolvimento</t>
  </si>
  <si>
    <t>Manutenção</t>
  </si>
  <si>
    <t>Estudo</t>
  </si>
  <si>
    <t>Pendente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</si>
</sst>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1.0"/>
      <color theme="1"/>
      <name val="Calibri"/>
      <scheme val="minor"/>
    </font>
    <font>
      <b/>
      <sz val="18.0"/>
      <color rgb="FFFFFFFF"/>
      <name val="Quattrocento Sans"/>
    </font>
    <font/>
    <font>
      <sz val="10.0"/>
      <color rgb="FFFFFFFF"/>
      <name val="Quattrocento Sans"/>
    </font>
    <font>
      <u/>
      <sz val="10.0"/>
      <color rgb="FF1F4E79"/>
      <name val="Quattrocento Sans"/>
    </font>
    <font>
      <sz val="11.0"/>
      <color theme="1"/>
      <name val="Calibri"/>
    </font>
    <font>
      <b/>
      <sz val="11.0"/>
      <color rgb="FFFFFFFF"/>
      <name val="Quattrocento Sans"/>
    </font>
    <font>
      <sz val="10.0"/>
      <color rgb="FF111827"/>
      <name val="Quattrocento Sans"/>
    </font>
    <font>
      <color theme="1"/>
      <name val="Calibri"/>
      <scheme val="minor"/>
    </font>
    <font>
      <b/>
      <sz val="10.0"/>
      <color rgb="FF0B2F4A"/>
      <name val="Quattrocento Sans"/>
    </font>
    <font>
      <b/>
      <sz val="24.0"/>
      <color rgb="FF1F4E79"/>
      <name val="Quattrocento Sans"/>
    </font>
    <font>
      <b/>
      <sz val="11.0"/>
      <color theme="1"/>
      <name val="Quattrocento Sans"/>
    </font>
  </fonts>
  <fills count="9">
    <fill>
      <patternFill patternType="none"/>
    </fill>
    <fill>
      <patternFill patternType="lightGray"/>
    </fill>
    <fill>
      <patternFill patternType="solid">
        <fgColor rgb="FF1F4E79"/>
        <bgColor rgb="FF1F4E79"/>
      </patternFill>
    </fill>
    <fill>
      <patternFill patternType="solid">
        <fgColor theme="4"/>
        <bgColor theme="4"/>
      </patternFill>
    </fill>
    <fill>
      <patternFill patternType="solid">
        <fgColor rgb="FFB4C6E7"/>
        <bgColor rgb="FFB4C6E7"/>
      </patternFill>
    </fill>
    <fill>
      <patternFill patternType="solid">
        <fgColor rgb="FFD9E2F3"/>
        <bgColor rgb="FFD9E2F3"/>
      </patternFill>
    </fill>
    <fill>
      <patternFill patternType="solid">
        <fgColor rgb="FF0B2F4A"/>
        <bgColor rgb="FF0B2F4A"/>
      </patternFill>
    </fill>
    <fill>
      <patternFill patternType="solid">
        <fgColor rgb="FFF6F8FA"/>
        <bgColor rgb="FFF6F8FA"/>
      </patternFill>
    </fill>
    <fill>
      <patternFill patternType="solid">
        <fgColor rgb="FFFFFFFF"/>
        <bgColor rgb="FFFFFFFF"/>
      </patternFill>
    </fill>
  </fills>
  <borders count="18">
    <border/>
    <border>
      <left/>
      <top/>
      <bottom/>
    </border>
    <border>
      <top/>
      <bottom/>
    </border>
    <border>
      <right/>
      <top/>
      <bottom/>
    </border>
    <border>
      <left style="thin">
        <color rgb="FFD0D7DE"/>
      </left>
      <right style="thin">
        <color rgb="FFD0D7DE"/>
      </right>
      <top style="thin">
        <color rgb="FFD0D7DE"/>
      </top>
      <bottom style="thin">
        <color rgb="FFD0D7DE"/>
      </bottom>
    </border>
    <border>
      <left style="thin">
        <color rgb="FFD0D7DE"/>
      </left>
      <right style="thin">
        <color rgb="FFD0D7DE"/>
      </right>
      <top style="thin">
        <color rgb="FFD0D7DE"/>
      </top>
    </border>
    <border>
      <left style="thin">
        <color rgb="FFD0D7DE"/>
      </left>
      <top style="thin">
        <color rgb="FFD0D7DE"/>
      </top>
      <bottom style="thin">
        <color rgb="FFD0D7DE"/>
      </bottom>
    </border>
    <border>
      <right style="thin">
        <color rgb="FFD0D7DE"/>
      </right>
      <top style="thin">
        <color rgb="FFD0D7DE"/>
      </top>
      <bottom style="thin">
        <color rgb="FFD0D7DE"/>
      </bottom>
    </border>
    <border>
      <left style="thin">
        <color rgb="FFD0D7DE"/>
      </left>
      <top style="thin">
        <color rgb="FFD0D7DE"/>
      </top>
    </border>
    <border>
      <right style="thin">
        <color rgb="FFD0D7DE"/>
      </right>
      <top style="thin">
        <color rgb="FFD0D7DE"/>
      </top>
    </border>
    <border>
      <left style="thin">
        <color rgb="FFD0D7DE"/>
      </left>
    </border>
    <border>
      <right style="thin">
        <color rgb="FFD0D7DE"/>
      </right>
    </border>
    <border>
      <left style="thin">
        <color rgb="FFD0D7DE"/>
      </left>
      <bottom style="thin">
        <color rgb="FFD0D7DE"/>
      </bottom>
    </border>
    <border>
      <right style="thin">
        <color rgb="FFD0D7DE"/>
      </right>
      <bottom style="thin">
        <color rgb="FFD0D7DE"/>
      </bottom>
    </border>
    <border>
      <left style="thin">
        <color rgb="FFD0D7DE"/>
      </left>
      <right/>
      <top style="thin">
        <color rgb="FFD0D7DE"/>
      </top>
      <bottom style="thin">
        <color rgb="FFD0D7DE"/>
      </bottom>
    </border>
    <border>
      <left style="thin">
        <color rgb="FFB4C6E7"/>
      </left>
      <right style="thin">
        <color rgb="FFB4C6E7"/>
      </right>
      <top style="thin">
        <color rgb="FFB4C6E7"/>
      </top>
    </border>
    <border>
      <left style="thin">
        <color rgb="FFB4C6E7"/>
      </left>
      <right style="thin">
        <color rgb="FFB4C6E7"/>
      </right>
      <top style="thin">
        <color rgb="FFB4C6E7"/>
      </top>
      <bottom style="thin">
        <color rgb="FFB4C6E7"/>
      </bottom>
    </border>
    <border>
      <left style="thin">
        <color rgb="FFB4C6E7"/>
      </left>
      <right style="thin">
        <color rgb="FFB4C6E7"/>
      </right>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1" fillId="2" fontId="3" numFmtId="0" xfId="0" applyAlignment="1" applyBorder="1" applyFont="1">
      <alignment horizontal="center" vertical="center"/>
    </xf>
    <xf borderId="0" fillId="0" fontId="4" numFmtId="0" xfId="0" applyFont="1"/>
    <xf borderId="0" fillId="0" fontId="5" numFmtId="0" xfId="0" applyAlignment="1" applyFont="1">
      <alignment horizontal="center"/>
    </xf>
    <xf borderId="0" fillId="0" fontId="5" numFmtId="0" xfId="0" applyAlignment="1" applyFont="1">
      <alignment horizontal="center" vertical="center"/>
    </xf>
    <xf borderId="4" fillId="3" fontId="6" numFmtId="0" xfId="0" applyAlignment="1" applyBorder="1" applyFill="1" applyFont="1">
      <alignment horizontal="center" shrinkToFit="0" vertical="center" wrapText="1"/>
    </xf>
    <xf borderId="4" fillId="4" fontId="7" numFmtId="0" xfId="0" applyAlignment="1" applyBorder="1" applyFill="1" applyFont="1">
      <alignment horizontal="left" shrinkToFit="0" vertical="center" wrapText="1"/>
    </xf>
    <xf borderId="4" fillId="4" fontId="7" numFmtId="0" xfId="0" applyAlignment="1" applyBorder="1" applyFont="1">
      <alignment horizontal="center" shrinkToFit="0" vertical="center" wrapText="1"/>
    </xf>
    <xf borderId="4" fillId="5" fontId="7" numFmtId="0" xfId="0" applyAlignment="1" applyBorder="1" applyFill="1" applyFont="1">
      <alignment horizontal="left" shrinkToFit="0" vertical="center" wrapText="1"/>
    </xf>
    <xf borderId="4" fillId="5" fontId="7" numFmtId="0" xfId="0" applyAlignment="1" applyBorder="1" applyFont="1">
      <alignment horizontal="center" shrinkToFit="0" vertical="center" wrapText="1"/>
    </xf>
    <xf borderId="0" fillId="4" fontId="5" numFmtId="0" xfId="0" applyAlignment="1" applyFont="1">
      <alignment horizontal="left" vertical="center"/>
    </xf>
    <xf borderId="5" fillId="4" fontId="7" numFmtId="0" xfId="0" applyAlignment="1" applyBorder="1" applyFont="1">
      <alignment horizontal="left" shrinkToFit="0" vertical="center" wrapText="1"/>
    </xf>
    <xf quotePrefix="1" borderId="4" fillId="4" fontId="7" numFmtId="14" xfId="0" applyAlignment="1" applyBorder="1" applyFont="1" applyNumberFormat="1">
      <alignment horizontal="center" shrinkToFit="0" vertical="center" wrapText="1"/>
    </xf>
    <xf borderId="0" fillId="5" fontId="5" numFmtId="0" xfId="0" applyAlignment="1" applyFont="1">
      <alignment horizontal="left" vertical="center"/>
    </xf>
    <xf borderId="4" fillId="5" fontId="7" numFmtId="14" xfId="0" applyAlignment="1" applyBorder="1" applyFont="1" applyNumberFormat="1">
      <alignment horizontal="center" shrinkToFit="0" vertical="center" wrapText="1"/>
    </xf>
    <xf borderId="5" fillId="5" fontId="7" numFmtId="0" xfId="0" applyAlignment="1" applyBorder="1" applyFont="1">
      <alignment horizontal="left" shrinkToFit="0" vertical="center" wrapText="1"/>
    </xf>
    <xf borderId="5" fillId="5" fontId="7" numFmtId="0" xfId="0" applyAlignment="1" applyBorder="1" applyFont="1">
      <alignment horizontal="center" shrinkToFit="0" vertical="center" wrapText="1"/>
    </xf>
    <xf borderId="5" fillId="5" fontId="7" numFmtId="14" xfId="0" applyAlignment="1" applyBorder="1" applyFont="1" applyNumberFormat="1">
      <alignment horizontal="center" shrinkToFit="0" vertical="center" wrapText="1"/>
    </xf>
    <xf borderId="5" fillId="4" fontId="7" numFmtId="14" xfId="0" applyAlignment="1" applyBorder="1" applyFont="1" applyNumberFormat="1">
      <alignment horizontal="center" shrinkToFit="0" vertical="center" wrapText="1"/>
    </xf>
    <xf borderId="5" fillId="4" fontId="7" numFmtId="0" xfId="0" applyAlignment="1" applyBorder="1" applyFont="1">
      <alignment horizontal="center" shrinkToFit="0" vertical="center" wrapText="1"/>
    </xf>
    <xf borderId="0" fillId="5" fontId="5" numFmtId="0" xfId="0" applyAlignment="1" applyFont="1">
      <alignment horizontal="left" readingOrder="0" vertical="center"/>
    </xf>
    <xf borderId="0" fillId="4" fontId="5" numFmtId="0" xfId="0" applyAlignment="1" applyFont="1">
      <alignment horizontal="left" shrinkToFit="0" vertical="center" wrapText="1"/>
    </xf>
    <xf borderId="0" fillId="4" fontId="5" numFmtId="0" xfId="0" applyAlignment="1" applyFont="1">
      <alignment horizontal="left" readingOrder="0" vertical="center"/>
    </xf>
    <xf borderId="0" fillId="4" fontId="5" numFmtId="14" xfId="0" applyAlignment="1" applyFont="1" applyNumberFormat="1">
      <alignment horizontal="center" vertical="center"/>
    </xf>
    <xf borderId="0" fillId="4" fontId="5" numFmtId="0" xfId="0" applyAlignment="1" applyFont="1">
      <alignment horizontal="left" readingOrder="0" shrinkToFit="0" vertical="center" wrapText="1"/>
    </xf>
    <xf borderId="0" fillId="5" fontId="5" numFmtId="0" xfId="0" applyAlignment="1" applyFont="1">
      <alignment horizontal="left" readingOrder="0" shrinkToFit="0" vertical="center" wrapText="1"/>
    </xf>
    <xf borderId="0" fillId="5" fontId="5" numFmtId="0" xfId="0" applyAlignment="1" applyFont="1">
      <alignment horizontal="left" shrinkToFit="0" vertical="center" wrapText="1"/>
    </xf>
    <xf borderId="5" fillId="5" fontId="7" numFmtId="0" xfId="0" applyAlignment="1" applyBorder="1" applyFont="1">
      <alignment horizontal="left" readingOrder="0" shrinkToFit="0" vertical="center" wrapText="1"/>
    </xf>
    <xf borderId="0" fillId="4" fontId="5" numFmtId="0" xfId="0" applyAlignment="1" applyFont="1">
      <alignment shrinkToFit="0" wrapText="1"/>
    </xf>
    <xf borderId="0" fillId="5" fontId="8" numFmtId="0" xfId="0" applyAlignment="1" applyFont="1">
      <alignment readingOrder="0" shrinkToFit="0" wrapText="1"/>
    </xf>
    <xf borderId="0" fillId="5" fontId="5" numFmtId="0" xfId="0" applyAlignment="1" applyFont="1">
      <alignment readingOrder="0" shrinkToFit="0" wrapText="1"/>
    </xf>
    <xf borderId="5" fillId="5" fontId="7" numFmtId="164" xfId="0" applyAlignment="1" applyBorder="1" applyFont="1" applyNumberFormat="1">
      <alignment horizontal="center" readingOrder="0" shrinkToFit="0" vertical="center" wrapText="1"/>
    </xf>
    <xf borderId="4" fillId="6" fontId="6" numFmtId="0" xfId="0" applyAlignment="1" applyBorder="1" applyFill="1" applyFont="1">
      <alignment horizontal="center" shrinkToFit="0" vertical="center" wrapText="1"/>
    </xf>
    <xf borderId="4" fillId="0" fontId="7" numFmtId="0" xfId="0" applyAlignment="1" applyBorder="1" applyFont="1">
      <alignment horizontal="center" shrinkToFit="0" vertical="center" wrapText="1"/>
    </xf>
    <xf borderId="0" fillId="0" fontId="5" numFmtId="0" xfId="0" applyAlignment="1" applyFont="1">
      <alignment horizontal="left" vertical="center"/>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8" numFmtId="0" xfId="0" applyAlignment="1" applyFont="1">
      <alignment horizontal="center" readingOrder="0" shrinkToFit="0" wrapText="1"/>
    </xf>
    <xf borderId="0" fillId="0" fontId="5" numFmtId="0" xfId="0" applyAlignment="1" applyFont="1">
      <alignment horizontal="center" readingOrder="0" shrinkToFit="0" wrapText="1"/>
    </xf>
    <xf borderId="5" fillId="0" fontId="7" numFmtId="164" xfId="0" applyAlignment="1" applyBorder="1" applyFont="1" applyNumberFormat="1">
      <alignment horizontal="center" readingOrder="0" shrinkToFit="0" vertical="center" wrapText="1"/>
    </xf>
    <xf borderId="0" fillId="0" fontId="5" numFmtId="0" xfId="0" applyAlignment="1" applyFont="1">
      <alignment horizontal="left" vertical="center"/>
    </xf>
    <xf borderId="6" fillId="7" fontId="9" numFmtId="0" xfId="0" applyAlignment="1" applyBorder="1" applyFill="1" applyFont="1">
      <alignment horizontal="left" vertical="center"/>
    </xf>
    <xf borderId="7" fillId="0" fontId="2" numFmtId="0" xfId="0" applyBorder="1" applyFont="1"/>
    <xf borderId="8" fillId="8" fontId="10" numFmtId="0" xfId="0" applyAlignment="1" applyBorder="1" applyFill="1" applyFont="1">
      <alignment horizontal="right"/>
    </xf>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0" fillId="0" fontId="5" numFmtId="0" xfId="0" applyFont="1"/>
    <xf borderId="4" fillId="6" fontId="6" numFmtId="0" xfId="0" applyAlignment="1" applyBorder="1" applyFont="1">
      <alignment horizontal="center" vertical="center"/>
    </xf>
    <xf borderId="4" fillId="0" fontId="5" numFmtId="0" xfId="0" applyBorder="1" applyFont="1"/>
    <xf borderId="4" fillId="0" fontId="5" numFmtId="0" xfId="0" applyAlignment="1" applyBorder="1" applyFont="1">
      <alignment horizontal="center"/>
    </xf>
    <xf borderId="4" fillId="0" fontId="5" numFmtId="0" xfId="0" applyAlignment="1" applyBorder="1" applyFont="1">
      <alignment readingOrder="0"/>
    </xf>
    <xf borderId="4" fillId="0" fontId="11" numFmtId="0" xfId="0" applyBorder="1" applyFont="1"/>
    <xf borderId="4" fillId="0" fontId="11" numFmtId="0" xfId="0" applyAlignment="1" applyBorder="1" applyFont="1">
      <alignment horizontal="center"/>
    </xf>
    <xf borderId="14" fillId="6" fontId="6" numFmtId="0" xfId="0" applyAlignment="1" applyBorder="1" applyFont="1">
      <alignment horizontal="center" vertical="center"/>
    </xf>
    <xf borderId="15" fillId="0" fontId="5" numFmtId="0" xfId="0" applyAlignment="1" applyBorder="1" applyFont="1">
      <alignment horizontal="left" shrinkToFit="0" vertical="center" wrapText="1"/>
    </xf>
    <xf borderId="16" fillId="0" fontId="5" numFmtId="0" xfId="0" applyAlignment="1" applyBorder="1" applyFont="1">
      <alignment horizontal="left" shrinkToFit="0" vertical="center" wrapText="1"/>
    </xf>
    <xf borderId="17" fillId="0" fontId="5" numFmtId="0" xfId="0" applyAlignment="1" applyBorder="1" applyFont="1">
      <alignment horizontal="left" shrinkToFit="0" vertical="center" wrapText="1"/>
    </xf>
    <xf borderId="0" fillId="0" fontId="11" numFmtId="0" xfId="0" applyFont="1"/>
    <xf borderId="0" fillId="0" fontId="8" numFmtId="0" xfId="0" applyFont="1"/>
  </cellXfs>
  <cellStyles count="1">
    <cellStyle xfId="0" name="Normal" builtinId="0"/>
  </cellStyles>
  <dxfs count="12">
    <dxf>
      <font/>
      <fill>
        <patternFill patternType="none"/>
      </fill>
      <border/>
    </dxf>
    <dxf>
      <font/>
      <fill>
        <patternFill patternType="solid">
          <fgColor rgb="FFC6EFCE"/>
          <bgColor rgb="FFC6EFCE"/>
        </patternFill>
      </fill>
      <border/>
    </dxf>
    <dxf>
      <font/>
      <fill>
        <patternFill patternType="solid">
          <fgColor rgb="FFFFC7CE"/>
          <bgColor rgb="FFFFC7CE"/>
        </patternFill>
      </fill>
      <border/>
    </dxf>
    <dxf>
      <font/>
      <fill>
        <patternFill patternType="solid">
          <fgColor rgb="FFFFEB9C"/>
          <bgColor rgb="FFFFEB9C"/>
        </patternFill>
      </fill>
      <border/>
    </dxf>
    <dxf>
      <font/>
      <fill>
        <patternFill patternType="solid">
          <fgColor rgb="FFD9E1F2"/>
          <bgColor rgb="FFD9E1F2"/>
        </patternFill>
      </fill>
      <border/>
    </dxf>
    <dxf>
      <font/>
      <fill>
        <patternFill patternType="solid">
          <fgColor rgb="FFBDD7EE"/>
          <bgColor rgb="FFBDD7EE"/>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CE4D6"/>
          <bgColor rgb="FFFCE4D6"/>
        </patternFill>
      </fill>
      <border/>
    </dxf>
    <dxf>
      <font/>
      <fill>
        <patternFill patternType="solid">
          <fgColor theme="4"/>
          <bgColor theme="4"/>
        </patternFill>
      </fill>
      <border/>
    </dxf>
    <dxf>
      <font/>
      <fill>
        <patternFill patternType="solid">
          <fgColor rgb="FFB4C6E7"/>
          <bgColor rgb="FFB4C6E7"/>
        </patternFill>
      </fill>
      <border/>
    </dxf>
    <dxf>
      <font/>
      <fill>
        <patternFill patternType="solid">
          <fgColor rgb="FFD9E2F3"/>
          <bgColor rgb="FFD9E2F3"/>
        </patternFill>
      </fill>
      <border/>
    </dxf>
  </dxfs>
  <tableStyles count="2">
    <tableStyle count="3" pivot="0" name="Em Andamento-style">
      <tableStyleElement dxfId="9" type="headerRow"/>
      <tableStyleElement dxfId="10" type="firstRowStripe"/>
      <tableStyleElement dxfId="11" type="secondRowStripe"/>
    </tableStyle>
    <tableStyle count="3" pivot="0" name="Finalizados-style">
      <tableStyleElement dxfId="9" type="headerRow"/>
      <tableStyleElement dxfId="10" type="firstRowStripe"/>
      <tableStyleElement dxfId="1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Projetos por Status/Fase</a:t>
            </a:r>
          </a:p>
        </c:rich>
      </c:tx>
      <c:overlay val="0"/>
    </c:title>
    <c:plotArea>
      <c:layout>
        <c:manualLayout>
          <c:xMode val="edge"/>
          <c:yMode val="edge"/>
          <c:x val="0.016378968253968253"/>
          <c:y val="0.032337962962962964"/>
          <c:w val="0.8359205357142857"/>
          <c:h val="0.935324074074074"/>
        </c:manualLayout>
      </c:layout>
      <c:barChart>
        <c:barDir val="col"/>
        <c:ser>
          <c:idx val="0"/>
          <c:order val="0"/>
          <c:tx>
            <c:v>Qtd.</c:v>
          </c:tx>
          <c:spPr>
            <a:solidFill>
              <a:schemeClr val="accent1"/>
            </a:solidFill>
            <a:ln cmpd="sng">
              <a:solidFill>
                <a:srgbClr val="000000"/>
              </a:solidFill>
            </a:ln>
          </c:spPr>
          <c:dPt>
            <c:idx val="0"/>
          </c:dPt>
          <c:dPt>
            <c:idx val="1"/>
          </c:dPt>
          <c:dPt>
            <c:idx val="2"/>
          </c:dPt>
          <c:dPt>
            <c:idx val="3"/>
          </c:dPt>
          <c:dPt>
            <c:idx val="4"/>
          </c:dPt>
          <c:dPt>
            <c:idx val="5"/>
          </c:dPt>
          <c:dPt>
            <c:idx val="6"/>
          </c:dPt>
          <c:dPt>
            <c:idx val="7"/>
          </c:dPt>
          <c:dPt>
            <c:idx val="8"/>
          </c:dPt>
          <c:dLbls>
            <c:dLbl>
              <c:idx val="0"/>
              <c:tx>
                <c:rich>
                  <a:bodyPr/>
                  <a:lstStyle/>
                  <a:p>
                    <a:pPr lvl="0">
                      <a:defRPr b="0">
                        <a:solidFill>
                          <a:srgbClr val="000000"/>
                        </a:solidFill>
                        <a:latin typeface="Roboto"/>
                      </a:defRPr>
                    </a:pPr>
                    <a:r>
                      <a:rPr b="0">
                        <a:solidFill>
                          <a:srgbClr val="000000"/>
                        </a:solidFill>
                        <a:latin typeface="Roboto"/>
                      </a:rPr>
                      <a:t> [VALOR]</a:t>
                    </a:r>
                  </a:p>
                </c:rich>
              </c:tx>
              <c:numFmt formatCode="General" sourceLinked="1"/>
              <c:txPr>
                <a:bodyPr/>
                <a:lstStyle/>
                <a:p>
                  <a:pPr lvl="0">
                    <a:defRPr/>
                  </a:pPr>
                </a:p>
              </c:txPr>
              <c:showLegendKey val="0"/>
              <c:showVal val="1"/>
              <c:showCatName val="0"/>
              <c:showSerName val="0"/>
              <c:showPercent val="0"/>
              <c:showBubbleSize val="0"/>
            </c:dLbl>
            <c:dLbl>
              <c:idx val="1"/>
              <c:tx>
                <c:rich>
                  <a:bodyPr/>
                  <a:lstStyle/>
                  <a:p>
                    <a:pPr lvl="0">
                      <a:defRPr b="1" i="0">
                        <a:solidFill>
                          <a:srgbClr val="000000"/>
                        </a:solidFill>
                        <a:latin typeface="Roboto"/>
                      </a:defRPr>
                    </a:pPr>
                    <a:r>
                      <a:rPr b="1" i="0">
                        <a:solidFill>
                          <a:srgbClr val="000000"/>
                        </a:solidFill>
                        <a:latin typeface="Roboto"/>
                      </a:rPr>
                      <a:t>[VALOR]</a:t>
                    </a:r>
                  </a:p>
                </c:rich>
              </c:tx>
              <c:numFmt formatCode="General" sourceLinked="1"/>
              <c:txPr>
                <a:bodyPr/>
                <a:lstStyle/>
                <a:p>
                  <a:pPr lvl="0">
                    <a:defRPr/>
                  </a:pPr>
                </a:p>
              </c:txPr>
              <c:showLegendKey val="0"/>
              <c:showVal val="1"/>
              <c:showCatName val="0"/>
              <c:showSerName val="0"/>
              <c:showPercent val="0"/>
              <c:showBubbleSize val="0"/>
            </c:dLbl>
            <c:dLbl>
              <c:idx val="2"/>
              <c:tx>
                <c:rich>
                  <a:bodyPr/>
                  <a:lstStyle/>
                  <a:p>
                    <a:pPr lvl="0">
                      <a:defRPr b="0">
                        <a:solidFill>
                          <a:srgbClr val="000000"/>
                        </a:solidFill>
                        <a:latin typeface="Roboto"/>
                      </a:defRPr>
                    </a:pPr>
                    <a:r>
                      <a:rPr b="0">
                        <a:solidFill>
                          <a:srgbClr val="000000"/>
                        </a:solidFill>
                        <a:latin typeface="Roboto"/>
                      </a:rPr>
                      <a:t> [VALOR]</a:t>
                    </a:r>
                  </a:p>
                </c:rich>
              </c:tx>
              <c:numFmt formatCode="General" sourceLinked="1"/>
              <c:txPr>
                <a:bodyPr/>
                <a:lstStyle/>
                <a:p>
                  <a:pPr lvl="0">
                    <a:defRPr/>
                  </a:pPr>
                </a:p>
              </c:txPr>
              <c:showLegendKey val="0"/>
              <c:showVal val="1"/>
              <c:showCatName val="0"/>
              <c:showSerName val="0"/>
              <c:showPercent val="0"/>
              <c:showBubbleSize val="0"/>
            </c:dLbl>
            <c:dLbl>
              <c:idx val="3"/>
              <c:tx>
                <c:rich>
                  <a:bodyPr/>
                  <a:lstStyle/>
                  <a:p>
                    <a:pPr lvl="0">
                      <a:defRPr b="0">
                        <a:solidFill>
                          <a:srgbClr val="000000"/>
                        </a:solidFill>
                        <a:latin typeface="Roboto"/>
                      </a:defRPr>
                    </a:pPr>
                    <a:r>
                      <a:rPr b="0">
                        <a:solidFill>
                          <a:srgbClr val="000000"/>
                        </a:solidFill>
                        <a:latin typeface="Roboto"/>
                      </a:rPr>
                      <a:t> [VALOR]</a:t>
                    </a:r>
                  </a:p>
                </c:rich>
              </c:tx>
              <c:numFmt formatCode="General" sourceLinked="1"/>
              <c:txPr>
                <a:bodyPr/>
                <a:lstStyle/>
                <a:p>
                  <a:pPr lvl="0">
                    <a:defRPr/>
                  </a:pPr>
                </a:p>
              </c:txPr>
              <c:showLegendKey val="0"/>
              <c:showVal val="1"/>
              <c:showCatName val="0"/>
              <c:showSerName val="0"/>
              <c:showPercent val="0"/>
              <c:showBubbleSize val="0"/>
            </c:dLbl>
            <c:dLbl>
              <c:idx val="4"/>
              <c:tx>
                <c:rich>
                  <a:bodyPr/>
                  <a:lstStyle/>
                  <a:p>
                    <a:pPr lvl="0">
                      <a:defRPr b="0">
                        <a:solidFill>
                          <a:srgbClr val="000000"/>
                        </a:solidFill>
                        <a:latin typeface="Roboto"/>
                      </a:defRPr>
                    </a:pPr>
                    <a:r>
                      <a:rPr b="0">
                        <a:solidFill>
                          <a:srgbClr val="000000"/>
                        </a:solidFill>
                        <a:latin typeface="Roboto"/>
                      </a:rPr>
                      <a:t>[VALOR]</a:t>
                    </a:r>
                  </a:p>
                </c:rich>
              </c:tx>
              <c:numFmt formatCode="General" sourceLinked="1"/>
              <c:txPr>
                <a:bodyPr/>
                <a:lstStyle/>
                <a:p>
                  <a:pPr lvl="0">
                    <a:defRPr/>
                  </a:pPr>
                </a:p>
              </c:txPr>
              <c:showLegendKey val="0"/>
              <c:showVal val="1"/>
              <c:showCatName val="0"/>
              <c:showSerName val="0"/>
              <c:showPercent val="0"/>
              <c:showBubbleSize val="0"/>
            </c:dLbl>
            <c:dLbl>
              <c:idx val="5"/>
              <c:tx>
                <c:rich>
                  <a:bodyPr/>
                  <a:lstStyle/>
                  <a:p>
                    <a:pPr lvl="0">
                      <a:defRPr b="0">
                        <a:solidFill>
                          <a:srgbClr val="000000"/>
                        </a:solidFill>
                        <a:latin typeface="Roboto"/>
                      </a:defRPr>
                    </a:pPr>
                    <a:r>
                      <a:rPr b="0">
                        <a:solidFill>
                          <a:srgbClr val="000000"/>
                        </a:solidFill>
                        <a:latin typeface="Roboto"/>
                      </a:rPr>
                      <a:t> [VALOR]</a:t>
                    </a:r>
                  </a:p>
                </c:rich>
              </c:tx>
              <c:numFmt formatCode="General" sourceLinked="1"/>
              <c:txPr>
                <a:bodyPr/>
                <a:lstStyle/>
                <a:p>
                  <a:pPr lvl="0">
                    <a:defRPr/>
                  </a:pPr>
                </a:p>
              </c:txPr>
              <c:showLegendKey val="0"/>
              <c:showVal val="1"/>
              <c:showCatName val="0"/>
              <c:showSerName val="0"/>
              <c:showPercent val="0"/>
              <c:showBubbleSize val="0"/>
            </c:dLbl>
            <c:dLbl>
              <c:idx val="6"/>
              <c:tx>
                <c:rich>
                  <a:bodyPr/>
                  <a:lstStyle/>
                  <a:p>
                    <a:pPr lvl="0">
                      <a:defRPr b="0">
                        <a:solidFill>
                          <a:srgbClr val="000000"/>
                        </a:solidFill>
                        <a:latin typeface="Roboto"/>
                      </a:defRPr>
                    </a:pPr>
                    <a:r>
                      <a:rPr b="0">
                        <a:solidFill>
                          <a:srgbClr val="000000"/>
                        </a:solidFill>
                        <a:latin typeface="Roboto"/>
                      </a:rPr>
                      <a:t> [VALOR]</a:t>
                    </a:r>
                  </a:p>
                </c:rich>
              </c:tx>
              <c:numFmt formatCode="General" sourceLinked="1"/>
              <c:txPr>
                <a:bodyPr/>
                <a:lstStyle/>
                <a:p>
                  <a:pPr lvl="0">
                    <a:defRPr/>
                  </a:pPr>
                </a:p>
              </c:txPr>
              <c:showLegendKey val="0"/>
              <c:showVal val="1"/>
              <c:showCatName val="0"/>
              <c:showSerName val="0"/>
              <c:showPercent val="0"/>
              <c:showBubbleSize val="0"/>
            </c:dLbl>
            <c:dLbl>
              <c:idx val="7"/>
              <c:tx>
                <c:rich>
                  <a:bodyPr/>
                  <a:lstStyle/>
                  <a:p>
                    <a:pPr lvl="0">
                      <a:defRPr b="0">
                        <a:solidFill>
                          <a:srgbClr val="000000"/>
                        </a:solidFill>
                        <a:latin typeface="Roboto"/>
                      </a:defRPr>
                    </a:pPr>
                    <a:r>
                      <a:rPr b="0">
                        <a:solidFill>
                          <a:srgbClr val="000000"/>
                        </a:solidFill>
                        <a:latin typeface="Roboto"/>
                      </a:rPr>
                      <a:t> [VALOR]</a:t>
                    </a:r>
                  </a:p>
                </c:rich>
              </c:tx>
              <c:numFmt formatCode="General" sourceLinked="1"/>
              <c:txPr>
                <a:bodyPr/>
                <a:lstStyle/>
                <a:p>
                  <a:pPr lvl="0">
                    <a:defRPr/>
                  </a:pPr>
                </a:p>
              </c:txPr>
              <c:showLegendKey val="0"/>
              <c:showVal val="1"/>
              <c:showCatName val="0"/>
              <c:showSerName val="0"/>
              <c:showPercent val="0"/>
              <c:showBubbleSize val="0"/>
            </c:dLbl>
            <c:dLbl>
              <c:idx val="8"/>
              <c:tx>
                <c:rich>
                  <a:bodyPr/>
                  <a:lstStyle/>
                  <a:p>
                    <a:pPr lvl="0">
                      <a:defRPr b="0">
                        <a:solidFill>
                          <a:srgbClr val="000000"/>
                        </a:solidFill>
                        <a:latin typeface="Roboto"/>
                      </a:defRPr>
                    </a:pPr>
                    <a:r>
                      <a:rPr b="0">
                        <a:solidFill>
                          <a:srgbClr val="000000"/>
                        </a:solidFill>
                        <a:latin typeface="Roboto"/>
                      </a:rPr>
                      <a:t> [VALOR]</a:t>
                    </a:r>
                  </a:p>
                </c:rich>
              </c:tx>
              <c:numFmt formatCode="General" sourceLinked="1"/>
              <c:txPr>
                <a:bodyPr/>
                <a:lstStyle/>
                <a:p>
                  <a:pPr lvl="0">
                    <a:defRPr/>
                  </a:pPr>
                </a:p>
              </c:txPr>
              <c:showLegendKey val="0"/>
              <c:showVal val="1"/>
              <c:showCatName val="0"/>
              <c:showSerName val="0"/>
              <c:showPercent val="0"/>
              <c:showBubbleSize val="0"/>
            </c:dLbl>
            <c:numFmt formatCode="General" sourceLinked="1"/>
            <c:txPr>
              <a:bodyPr/>
              <a:lstStyle/>
              <a:p>
                <a:pPr lvl="0">
                  <a:defRPr/>
                </a:pPr>
              </a:p>
            </c:txPr>
            <c:showLegendKey val="0"/>
            <c:showVal val="1"/>
            <c:showCatName val="0"/>
            <c:showSerName val="0"/>
            <c:showPercent val="0"/>
            <c:showBubbleSize val="0"/>
          </c:dLbls>
          <c:cat>
            <c:strRef>
              <c:f>Resumo!$A$5:$A$9</c:f>
            </c:strRef>
          </c:cat>
          <c:val>
            <c:numRef>
              <c:f>Resumo!$B$5:$B$9</c:f>
              <c:numCache/>
            </c:numRef>
          </c:val>
        </c:ser>
        <c:axId val="1301737467"/>
        <c:axId val="1450914856"/>
      </c:barChart>
      <c:catAx>
        <c:axId val="13017374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50914856"/>
      </c:catAx>
      <c:valAx>
        <c:axId val="1450914856"/>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Quantidade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173746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Projetos por Status/Fase</a:t>
            </a:r>
          </a:p>
        </c:rich>
      </c:tx>
      <c:overlay val="0"/>
    </c:title>
    <c:plotArea>
      <c:layout/>
      <c:barChart>
        <c:barDir val="col"/>
        <c:ser>
          <c:idx val="0"/>
          <c:order val="0"/>
          <c:tx>
            <c:v>Qtd.</c:v>
          </c:tx>
          <c:spPr>
            <a:solidFill>
              <a:schemeClr val="accent1"/>
            </a:solidFill>
            <a:ln cmpd="sng">
              <a:solidFill>
                <a:srgbClr val="000000"/>
              </a:solidFill>
            </a:ln>
          </c:spPr>
          <c:dPt>
            <c:idx val="0"/>
          </c:dPt>
          <c:dPt>
            <c:idx val="1"/>
          </c:dPt>
          <c:dPt>
            <c:idx val="2"/>
          </c:dPt>
          <c:dPt>
            <c:idx val="3"/>
          </c:dPt>
          <c:dPt>
            <c:idx val="4"/>
          </c:dPt>
          <c:dPt>
            <c:idx val="5"/>
          </c:dPt>
          <c:dPt>
            <c:idx val="6"/>
          </c:dPt>
          <c:dPt>
            <c:idx val="7"/>
          </c:dPt>
          <c:dPt>
            <c:idx val="8"/>
          </c:dPt>
          <c:cat>
            <c:strRef>
              <c:f>Resumo!$A$5:$A$9</c:f>
            </c:strRef>
          </c:cat>
          <c:val>
            <c:numRef>
              <c:f>Resumo!$B$5:$B$9</c:f>
              <c:numCache/>
            </c:numRef>
          </c:val>
        </c:ser>
        <c:axId val="103030216"/>
        <c:axId val="2048583674"/>
      </c:barChart>
      <c:catAx>
        <c:axId val="1030302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48583674"/>
      </c:catAx>
      <c:valAx>
        <c:axId val="2048583674"/>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Quantidade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303021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Distribuição por Impacto</a:t>
            </a:r>
          </a:p>
        </c:rich>
      </c:tx>
      <c:overlay val="0"/>
    </c:title>
    <c:plotArea>
      <c:layout/>
      <c:doughnutChart>
        <c:varyColors val="1"/>
        <c:ser>
          <c:idx val="0"/>
          <c:order val="0"/>
          <c:tx>
            <c:strRef>
              <c:f>Resumo!$B$12</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Lbls>
            <c:showLegendKey val="0"/>
            <c:showVal val="0"/>
            <c:showCatName val="0"/>
            <c:showSerName val="0"/>
            <c:showPercent val="0"/>
            <c:showBubbleSize val="0"/>
            <c:showLeaderLines val="1"/>
          </c:dLbls>
          <c:cat>
            <c:strRef>
              <c:f>Resumo!$A$13:$A$16</c:f>
            </c:strRef>
          </c:cat>
          <c:val>
            <c:numRef>
              <c:f>Resumo!$B$13:$B$16</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8</xdr:row>
      <xdr:rowOff>0</xdr:rowOff>
    </xdr:from>
    <xdr:ext cx="10077450" cy="4314825"/>
    <xdr:graphicFrame>
      <xdr:nvGraphicFramePr>
        <xdr:cNvPr id="2018491303"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542925</xdr:colOff>
      <xdr:row>1</xdr:row>
      <xdr:rowOff>28575</xdr:rowOff>
    </xdr:from>
    <xdr:ext cx="5133975" cy="10572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581025</xdr:colOff>
      <xdr:row>3</xdr:row>
      <xdr:rowOff>9525</xdr:rowOff>
    </xdr:from>
    <xdr:ext cx="6477000" cy="3238500"/>
    <xdr:graphicFrame>
      <xdr:nvGraphicFramePr>
        <xdr:cNvPr id="523496458"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438150</xdr:colOff>
      <xdr:row>3</xdr:row>
      <xdr:rowOff>9525</xdr:rowOff>
    </xdr:from>
    <xdr:ext cx="5753100" cy="3238500"/>
    <xdr:graphicFrame>
      <xdr:nvGraphicFramePr>
        <xdr:cNvPr id="464604802" name="Chart 3"/>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428625</xdr:colOff>
      <xdr:row>22</xdr:row>
      <xdr:rowOff>123825</xdr:rowOff>
    </xdr:from>
    <xdr:ext cx="5248275" cy="10477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K20" displayName="Table_1" name="Table_1" id="1">
  <tableColumns count="11">
    <tableColumn name="Nº" id="1"/>
    <tableColumn name="Projeto (Título)" id="2"/>
    <tableColumn name="Projeto (Descrição)" id="3"/>
    <tableColumn name="Motivos" id="4"/>
    <tableColumn name="Benefícios" id="5"/>
    <tableColumn name="Status / Fase" id="6"/>
    <tableColumn name="Solicitante" id="7"/>
    <tableColumn name="Tipo" id="8"/>
    <tableColumn name="Previsão de Término" id="9"/>
    <tableColumn name="Impacto" id="10"/>
    <tableColumn name="Observação" id="11"/>
  </tableColumns>
  <tableStyleInfo name="Em Andamento-style" showColumnStripes="0" showFirstColumn="1" showLastColumn="1" showRowStripes="1"/>
</table>
</file>

<file path=xl/tables/table2.xml><?xml version="1.0" encoding="utf-8"?>
<table xmlns="http://schemas.openxmlformats.org/spreadsheetml/2006/main" ref="D2:N14" displayName="Table_2" name="Table_2" id="2">
  <tableColumns count="11">
    <tableColumn name="Nº" id="1"/>
    <tableColumn name="Projeto (Título)" id="2"/>
    <tableColumn name="Projeto (Descrição)" id="3"/>
    <tableColumn name="Motivos" id="4"/>
    <tableColumn name="Benefícios" id="5"/>
    <tableColumn name="Status / Fase" id="6"/>
    <tableColumn name="Solicitante" id="7"/>
    <tableColumn name="Tipo" id="8"/>
    <tableColumn name="Previsão de Término" id="9"/>
    <tableColumn name="Impacto" id="10"/>
    <tableColumn name="Observação" id="11"/>
  </tableColumns>
  <tableStyleInfo name="Finalizad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4.43" defaultRowHeight="15.0"/>
  <cols>
    <col customWidth="1" min="1" max="1" width="6.0"/>
    <col customWidth="1" min="2" max="2" width="73.43"/>
    <col customWidth="1" min="3" max="3" width="55.0"/>
    <col customWidth="1" min="4" max="4" width="53.14"/>
    <col customWidth="1" min="5" max="5" width="45.0"/>
    <col customWidth="1" min="6" max="6" width="18.0"/>
    <col customWidth="1" min="7" max="7" width="38.86"/>
    <col customWidth="1" min="8" max="8" width="22.0"/>
    <col customWidth="1" min="9" max="10" width="20.0"/>
    <col customWidth="1" min="11" max="11" width="20.71"/>
    <col customWidth="1" min="12" max="12" width="42.0"/>
    <col customWidth="1" min="13" max="26" width="8.71"/>
  </cols>
  <sheetData>
    <row r="1" ht="33.75" customHeight="1">
      <c r="A1" s="1" t="s">
        <v>0</v>
      </c>
      <c r="B1" s="2"/>
      <c r="C1" s="2"/>
      <c r="D1" s="2"/>
      <c r="E1" s="2"/>
      <c r="F1" s="2"/>
      <c r="G1" s="2"/>
      <c r="H1" s="2"/>
      <c r="I1" s="2"/>
      <c r="J1" s="2"/>
      <c r="K1" s="2"/>
      <c r="L1" s="3"/>
    </row>
    <row r="2" ht="18.0" customHeight="1">
      <c r="A2" s="4"/>
      <c r="B2" s="2"/>
      <c r="C2" s="2"/>
      <c r="D2" s="2"/>
      <c r="E2" s="2"/>
      <c r="F2" s="2"/>
      <c r="G2" s="2"/>
      <c r="H2" s="2"/>
      <c r="I2" s="2"/>
      <c r="J2" s="2"/>
      <c r="K2" s="2"/>
      <c r="L2" s="3"/>
    </row>
    <row r="3" ht="14.25" customHeight="1">
      <c r="A3" s="5" t="s">
        <v>1</v>
      </c>
      <c r="C3" s="5" t="s">
        <v>2</v>
      </c>
      <c r="I3" s="6"/>
      <c r="K3" s="7"/>
    </row>
    <row r="4" ht="14.25" customHeight="1">
      <c r="I4" s="6"/>
      <c r="K4" s="7"/>
    </row>
    <row r="5" ht="33.75" customHeight="1">
      <c r="A5" s="8" t="s">
        <v>3</v>
      </c>
      <c r="B5" s="8" t="s">
        <v>4</v>
      </c>
      <c r="C5" s="8" t="s">
        <v>5</v>
      </c>
      <c r="D5" s="8" t="s">
        <v>6</v>
      </c>
      <c r="E5" s="8" t="s">
        <v>7</v>
      </c>
      <c r="F5" s="8" t="s">
        <v>8</v>
      </c>
      <c r="G5" s="8" t="s">
        <v>9</v>
      </c>
      <c r="H5" s="8" t="s">
        <v>10</v>
      </c>
      <c r="I5" s="8" t="s">
        <v>11</v>
      </c>
      <c r="J5" s="8" t="s">
        <v>12</v>
      </c>
      <c r="K5" s="8" t="s">
        <v>13</v>
      </c>
      <c r="L5" s="8" t="s">
        <v>14</v>
      </c>
    </row>
    <row r="6" ht="14.25" customHeight="1">
      <c r="A6" s="9">
        <v>1.0</v>
      </c>
      <c r="B6" s="9" t="s">
        <v>15</v>
      </c>
      <c r="C6" s="9" t="s">
        <v>16</v>
      </c>
      <c r="D6" s="9" t="s">
        <v>17</v>
      </c>
      <c r="E6" s="9" t="s">
        <v>18</v>
      </c>
      <c r="F6" s="9" t="s">
        <v>19</v>
      </c>
      <c r="G6" s="9" t="s">
        <v>20</v>
      </c>
      <c r="H6" s="9" t="s">
        <v>21</v>
      </c>
      <c r="I6" s="10" t="s">
        <v>22</v>
      </c>
      <c r="J6" s="9" t="s">
        <v>23</v>
      </c>
      <c r="K6" s="9" t="s">
        <v>24</v>
      </c>
      <c r="L6" s="9"/>
    </row>
    <row r="7" ht="14.25" customHeight="1">
      <c r="A7" s="11">
        <v>2.0</v>
      </c>
      <c r="B7" s="11" t="s">
        <v>25</v>
      </c>
      <c r="C7" s="11" t="s">
        <v>26</v>
      </c>
      <c r="D7" s="11" t="s">
        <v>27</v>
      </c>
      <c r="E7" s="11" t="s">
        <v>28</v>
      </c>
      <c r="F7" s="11" t="s">
        <v>19</v>
      </c>
      <c r="G7" s="11" t="s">
        <v>29</v>
      </c>
      <c r="H7" s="11" t="s">
        <v>21</v>
      </c>
      <c r="I7" s="12" t="s">
        <v>22</v>
      </c>
      <c r="J7" s="11" t="s">
        <v>23</v>
      </c>
      <c r="K7" s="11" t="s">
        <v>30</v>
      </c>
      <c r="L7" s="11"/>
    </row>
    <row r="8" ht="14.25" customHeight="1">
      <c r="A8" s="9">
        <v>3.0</v>
      </c>
      <c r="B8" s="9" t="s">
        <v>31</v>
      </c>
      <c r="C8" s="9" t="s">
        <v>32</v>
      </c>
      <c r="D8" s="9" t="s">
        <v>33</v>
      </c>
      <c r="E8" s="9" t="s">
        <v>34</v>
      </c>
      <c r="F8" s="9" t="s">
        <v>19</v>
      </c>
      <c r="G8" s="13" t="s">
        <v>35</v>
      </c>
      <c r="H8" s="9" t="s">
        <v>21</v>
      </c>
      <c r="I8" s="10" t="s">
        <v>22</v>
      </c>
      <c r="J8" s="9" t="s">
        <v>23</v>
      </c>
      <c r="K8" s="9" t="s">
        <v>36</v>
      </c>
      <c r="L8" s="9"/>
    </row>
    <row r="9" ht="14.25" customHeight="1">
      <c r="A9" s="11">
        <v>4.0</v>
      </c>
      <c r="B9" s="11" t="s">
        <v>37</v>
      </c>
      <c r="C9" s="11" t="s">
        <v>38</v>
      </c>
      <c r="D9" s="11" t="s">
        <v>39</v>
      </c>
      <c r="E9" s="11" t="s">
        <v>40</v>
      </c>
      <c r="F9" s="11" t="s">
        <v>41</v>
      </c>
      <c r="G9" s="11" t="s">
        <v>42</v>
      </c>
      <c r="H9" s="11" t="s">
        <v>21</v>
      </c>
      <c r="I9" s="12" t="s">
        <v>22</v>
      </c>
      <c r="J9" s="11" t="s">
        <v>23</v>
      </c>
      <c r="K9" s="11" t="s">
        <v>43</v>
      </c>
      <c r="L9" s="11"/>
    </row>
    <row r="10">
      <c r="A10" s="9">
        <v>5.0</v>
      </c>
      <c r="B10" s="9" t="s">
        <v>44</v>
      </c>
      <c r="C10" s="14" t="s">
        <v>45</v>
      </c>
      <c r="D10" s="9" t="s">
        <v>46</v>
      </c>
      <c r="E10" s="9" t="s">
        <v>47</v>
      </c>
      <c r="F10" s="9" t="s">
        <v>41</v>
      </c>
      <c r="G10" s="9" t="s">
        <v>48</v>
      </c>
      <c r="H10" s="9" t="s">
        <v>49</v>
      </c>
      <c r="I10" s="15" t="s">
        <v>41</v>
      </c>
      <c r="J10" s="9" t="s">
        <v>23</v>
      </c>
      <c r="K10" s="9" t="s">
        <v>36</v>
      </c>
      <c r="L10" s="13"/>
    </row>
    <row r="11" ht="14.25" customHeight="1">
      <c r="A11" s="11">
        <v>6.0</v>
      </c>
      <c r="B11" s="11" t="s">
        <v>50</v>
      </c>
      <c r="C11" s="11" t="s">
        <v>51</v>
      </c>
      <c r="D11" s="11" t="s">
        <v>52</v>
      </c>
      <c r="E11" s="11" t="s">
        <v>53</v>
      </c>
      <c r="F11" s="11" t="s">
        <v>54</v>
      </c>
      <c r="G11" s="16" t="s">
        <v>35</v>
      </c>
      <c r="H11" s="11" t="s">
        <v>49</v>
      </c>
      <c r="I11" s="17">
        <v>46371.0</v>
      </c>
      <c r="J11" s="11" t="s">
        <v>23</v>
      </c>
      <c r="K11" s="11" t="s">
        <v>36</v>
      </c>
      <c r="L11" s="11"/>
    </row>
    <row r="12" ht="14.25" customHeight="1">
      <c r="A12" s="9">
        <v>7.0</v>
      </c>
      <c r="B12" s="9" t="s">
        <v>55</v>
      </c>
      <c r="C12" s="9" t="s">
        <v>56</v>
      </c>
      <c r="D12" s="9" t="s">
        <v>57</v>
      </c>
      <c r="E12" s="9" t="s">
        <v>58</v>
      </c>
      <c r="F12" s="9" t="s">
        <v>41</v>
      </c>
      <c r="G12" s="9" t="s">
        <v>59</v>
      </c>
      <c r="H12" s="9" t="s">
        <v>49</v>
      </c>
      <c r="I12" s="15" t="s">
        <v>41</v>
      </c>
      <c r="J12" s="9" t="s">
        <v>60</v>
      </c>
      <c r="K12" s="9" t="s">
        <v>24</v>
      </c>
      <c r="L12" s="9"/>
    </row>
    <row r="13" ht="14.25" customHeight="1">
      <c r="A13" s="18">
        <v>8.0</v>
      </c>
      <c r="B13" s="18" t="s">
        <v>61</v>
      </c>
      <c r="C13" s="18" t="s">
        <v>62</v>
      </c>
      <c r="D13" s="18" t="s">
        <v>63</v>
      </c>
      <c r="E13" s="18" t="s">
        <v>64</v>
      </c>
      <c r="F13" s="18" t="s">
        <v>41</v>
      </c>
      <c r="G13" s="11" t="s">
        <v>59</v>
      </c>
      <c r="H13" s="11" t="s">
        <v>49</v>
      </c>
      <c r="I13" s="19" t="s">
        <v>41</v>
      </c>
      <c r="J13" s="18" t="s">
        <v>65</v>
      </c>
      <c r="K13" s="11" t="s">
        <v>24</v>
      </c>
      <c r="L13" s="18" t="s">
        <v>66</v>
      </c>
    </row>
    <row r="14" ht="14.25" customHeight="1">
      <c r="A14" s="14">
        <v>9.0</v>
      </c>
      <c r="B14" s="14" t="s">
        <v>67</v>
      </c>
      <c r="C14" s="14" t="s">
        <v>68</v>
      </c>
      <c r="D14" s="14" t="s">
        <v>69</v>
      </c>
      <c r="E14" s="14" t="s">
        <v>70</v>
      </c>
      <c r="F14" s="14" t="s">
        <v>71</v>
      </c>
      <c r="G14" s="9" t="s">
        <v>48</v>
      </c>
      <c r="H14" s="9" t="s">
        <v>21</v>
      </c>
      <c r="I14" s="10" t="s">
        <v>22</v>
      </c>
      <c r="J14" s="14" t="s">
        <v>60</v>
      </c>
      <c r="K14" s="9" t="s">
        <v>36</v>
      </c>
      <c r="L14" s="14"/>
    </row>
    <row r="15">
      <c r="A15" s="18">
        <v>10.0</v>
      </c>
      <c r="B15" s="18" t="s">
        <v>72</v>
      </c>
      <c r="C15" s="18" t="s">
        <v>73</v>
      </c>
      <c r="D15" s="18" t="s">
        <v>74</v>
      </c>
      <c r="E15" s="18" t="s">
        <v>75</v>
      </c>
      <c r="F15" s="18" t="s">
        <v>71</v>
      </c>
      <c r="G15" s="18" t="s">
        <v>48</v>
      </c>
      <c r="H15" s="11" t="s">
        <v>49</v>
      </c>
      <c r="I15" s="20">
        <v>46173.0</v>
      </c>
      <c r="J15" s="18" t="s">
        <v>23</v>
      </c>
      <c r="K15" s="11" t="s">
        <v>36</v>
      </c>
      <c r="L15" s="18"/>
    </row>
    <row r="16" ht="14.25" customHeight="1">
      <c r="A16" s="14">
        <v>11.0</v>
      </c>
      <c r="B16" s="14" t="s">
        <v>76</v>
      </c>
      <c r="C16" s="14" t="s">
        <v>77</v>
      </c>
      <c r="D16" s="14" t="s">
        <v>78</v>
      </c>
      <c r="E16" s="14" t="s">
        <v>79</v>
      </c>
      <c r="F16" s="9" t="s">
        <v>54</v>
      </c>
      <c r="G16" s="13" t="s">
        <v>35</v>
      </c>
      <c r="H16" s="9" t="s">
        <v>49</v>
      </c>
      <c r="I16" s="21">
        <v>46173.0</v>
      </c>
      <c r="J16" s="14" t="s">
        <v>60</v>
      </c>
      <c r="K16" s="9" t="s">
        <v>36</v>
      </c>
      <c r="L16" s="14" t="s">
        <v>66</v>
      </c>
    </row>
    <row r="17" ht="14.25" customHeight="1">
      <c r="A17" s="18">
        <v>12.0</v>
      </c>
      <c r="B17" s="18" t="s">
        <v>80</v>
      </c>
      <c r="C17" s="18" t="s">
        <v>81</v>
      </c>
      <c r="D17" s="18" t="s">
        <v>82</v>
      </c>
      <c r="E17" s="18" t="s">
        <v>83</v>
      </c>
      <c r="F17" s="18" t="s">
        <v>41</v>
      </c>
      <c r="G17" s="16" t="s">
        <v>35</v>
      </c>
      <c r="H17" s="11" t="s">
        <v>21</v>
      </c>
      <c r="I17" s="12" t="s">
        <v>22</v>
      </c>
      <c r="J17" s="18" t="s">
        <v>23</v>
      </c>
      <c r="K17" s="11" t="s">
        <v>36</v>
      </c>
      <c r="L17" s="18"/>
    </row>
    <row r="18" ht="14.25" customHeight="1">
      <c r="A18" s="14">
        <v>13.0</v>
      </c>
      <c r="B18" s="14" t="s">
        <v>84</v>
      </c>
      <c r="C18" s="14" t="s">
        <v>85</v>
      </c>
      <c r="D18" s="14" t="s">
        <v>86</v>
      </c>
      <c r="E18" s="14" t="s">
        <v>87</v>
      </c>
      <c r="F18" s="9" t="s">
        <v>54</v>
      </c>
      <c r="G18" s="13" t="s">
        <v>35</v>
      </c>
      <c r="H18" s="9" t="s">
        <v>49</v>
      </c>
      <c r="I18" s="21">
        <v>46363.0</v>
      </c>
      <c r="J18" s="14" t="s">
        <v>65</v>
      </c>
      <c r="K18" s="9" t="s">
        <v>36</v>
      </c>
      <c r="L18" s="14"/>
    </row>
    <row r="19" ht="14.25" customHeight="1">
      <c r="A19" s="18">
        <v>14.0</v>
      </c>
      <c r="B19" s="18" t="s">
        <v>88</v>
      </c>
      <c r="C19" s="18" t="s">
        <v>89</v>
      </c>
      <c r="D19" s="18" t="s">
        <v>90</v>
      </c>
      <c r="E19" s="18" t="s">
        <v>91</v>
      </c>
      <c r="F19" s="11" t="s">
        <v>54</v>
      </c>
      <c r="G19" s="18" t="s">
        <v>92</v>
      </c>
      <c r="H19" s="11" t="s">
        <v>49</v>
      </c>
      <c r="I19" s="20">
        <v>46173.0</v>
      </c>
      <c r="J19" s="18" t="s">
        <v>65</v>
      </c>
      <c r="K19" s="11" t="s">
        <v>93</v>
      </c>
      <c r="L19" s="18"/>
    </row>
    <row r="20" ht="14.25" customHeight="1">
      <c r="A20" s="14">
        <v>15.0</v>
      </c>
      <c r="B20" s="14" t="s">
        <v>94</v>
      </c>
      <c r="C20" s="14" t="s">
        <v>95</v>
      </c>
      <c r="D20" s="14" t="s">
        <v>96</v>
      </c>
      <c r="E20" s="14" t="s">
        <v>97</v>
      </c>
      <c r="F20" s="14" t="s">
        <v>41</v>
      </c>
      <c r="G20" s="14" t="s">
        <v>98</v>
      </c>
      <c r="H20" s="9" t="s">
        <v>49</v>
      </c>
      <c r="I20" s="22" t="s">
        <v>41</v>
      </c>
      <c r="J20" s="14" t="s">
        <v>60</v>
      </c>
      <c r="K20" s="14" t="s">
        <v>99</v>
      </c>
      <c r="L20" s="14"/>
    </row>
    <row r="21" ht="14.25" customHeight="1">
      <c r="A21" s="18">
        <v>16.0</v>
      </c>
      <c r="B21" s="18" t="s">
        <v>100</v>
      </c>
      <c r="C21" s="18" t="s">
        <v>101</v>
      </c>
      <c r="D21" s="18" t="s">
        <v>102</v>
      </c>
      <c r="E21" s="18" t="s">
        <v>103</v>
      </c>
      <c r="F21" s="18" t="s">
        <v>41</v>
      </c>
      <c r="G21" s="18" t="s">
        <v>104</v>
      </c>
      <c r="H21" s="11" t="s">
        <v>49</v>
      </c>
      <c r="I21" s="19" t="s">
        <v>41</v>
      </c>
      <c r="J21" s="18" t="s">
        <v>60</v>
      </c>
      <c r="K21" s="18" t="s">
        <v>105</v>
      </c>
      <c r="L21" s="18"/>
    </row>
    <row r="22" ht="14.25" customHeight="1">
      <c r="A22" s="14">
        <v>17.0</v>
      </c>
      <c r="B22" s="14" t="s">
        <v>106</v>
      </c>
      <c r="C22" s="14" t="s">
        <v>107</v>
      </c>
      <c r="D22" s="14" t="s">
        <v>108</v>
      </c>
      <c r="E22" s="14" t="s">
        <v>109</v>
      </c>
      <c r="F22" s="14" t="s">
        <v>41</v>
      </c>
      <c r="G22" s="14" t="s">
        <v>29</v>
      </c>
      <c r="H22" s="9" t="s">
        <v>49</v>
      </c>
      <c r="I22" s="22" t="s">
        <v>41</v>
      </c>
      <c r="J22" s="14" t="s">
        <v>23</v>
      </c>
      <c r="K22" s="14" t="s">
        <v>110</v>
      </c>
      <c r="L22" s="14"/>
    </row>
    <row r="23" ht="14.25" customHeight="1">
      <c r="A23" s="18">
        <v>18.0</v>
      </c>
      <c r="B23" s="18" t="s">
        <v>111</v>
      </c>
      <c r="C23" s="18" t="s">
        <v>112</v>
      </c>
      <c r="D23" s="18" t="s">
        <v>108</v>
      </c>
      <c r="E23" s="18" t="s">
        <v>113</v>
      </c>
      <c r="F23" s="18" t="s">
        <v>41</v>
      </c>
      <c r="G23" s="18" t="s">
        <v>114</v>
      </c>
      <c r="H23" s="11" t="s">
        <v>49</v>
      </c>
      <c r="I23" s="19" t="s">
        <v>41</v>
      </c>
      <c r="J23" s="18" t="s">
        <v>60</v>
      </c>
      <c r="K23" s="18" t="s">
        <v>115</v>
      </c>
      <c r="L23" s="18"/>
    </row>
    <row r="24" ht="14.25" customHeight="1">
      <c r="A24" s="14">
        <v>19.0</v>
      </c>
      <c r="B24" s="14" t="s">
        <v>116</v>
      </c>
      <c r="C24" s="14" t="s">
        <v>117</v>
      </c>
      <c r="D24" s="14" t="s">
        <v>118</v>
      </c>
      <c r="E24" s="14" t="s">
        <v>119</v>
      </c>
      <c r="F24" s="14" t="s">
        <v>41</v>
      </c>
      <c r="G24" s="14" t="s">
        <v>98</v>
      </c>
      <c r="H24" s="9" t="s">
        <v>49</v>
      </c>
      <c r="I24" s="22" t="s">
        <v>41</v>
      </c>
      <c r="J24" s="14" t="s">
        <v>23</v>
      </c>
      <c r="K24" s="9" t="s">
        <v>36</v>
      </c>
      <c r="L24" s="14"/>
    </row>
    <row r="25" ht="14.25" customHeight="1">
      <c r="A25" s="18">
        <v>20.0</v>
      </c>
      <c r="B25" s="18" t="s">
        <v>120</v>
      </c>
      <c r="C25" s="18" t="s">
        <v>121</v>
      </c>
      <c r="D25" s="18" t="s">
        <v>122</v>
      </c>
      <c r="E25" s="18" t="s">
        <v>123</v>
      </c>
      <c r="F25" s="11" t="s">
        <v>54</v>
      </c>
      <c r="G25" s="18" t="s">
        <v>115</v>
      </c>
      <c r="H25" s="11" t="s">
        <v>49</v>
      </c>
      <c r="I25" s="19" t="s">
        <v>124</v>
      </c>
      <c r="J25" s="18" t="s">
        <v>23</v>
      </c>
      <c r="K25" s="18" t="s">
        <v>115</v>
      </c>
      <c r="L25" s="18"/>
    </row>
    <row r="26" ht="14.25" customHeight="1">
      <c r="A26" s="14">
        <v>21.0</v>
      </c>
      <c r="B26" s="14" t="s">
        <v>125</v>
      </c>
      <c r="C26" s="14" t="s">
        <v>126</v>
      </c>
      <c r="D26" s="14" t="s">
        <v>127</v>
      </c>
      <c r="E26" s="14" t="s">
        <v>127</v>
      </c>
      <c r="F26" s="14" t="s">
        <v>41</v>
      </c>
      <c r="G26" s="13" t="s">
        <v>35</v>
      </c>
      <c r="H26" s="9" t="s">
        <v>49</v>
      </c>
      <c r="I26" s="22" t="s">
        <v>41</v>
      </c>
      <c r="J26" s="14" t="s">
        <v>23</v>
      </c>
      <c r="K26" s="9" t="s">
        <v>36</v>
      </c>
      <c r="L26" s="14"/>
    </row>
    <row r="27" ht="14.25" customHeight="1">
      <c r="A27" s="18">
        <v>22.0</v>
      </c>
      <c r="B27" s="18" t="s">
        <v>128</v>
      </c>
      <c r="C27" s="18" t="s">
        <v>129</v>
      </c>
      <c r="D27" s="18" t="s">
        <v>130</v>
      </c>
      <c r="E27" s="18" t="s">
        <v>130</v>
      </c>
      <c r="F27" s="18" t="s">
        <v>41</v>
      </c>
      <c r="G27" s="16" t="s">
        <v>35</v>
      </c>
      <c r="H27" s="11" t="s">
        <v>49</v>
      </c>
      <c r="I27" s="19" t="s">
        <v>41</v>
      </c>
      <c r="J27" s="18" t="s">
        <v>23</v>
      </c>
      <c r="K27" s="18" t="s">
        <v>131</v>
      </c>
      <c r="L27" s="18"/>
    </row>
    <row r="28" ht="14.25" customHeight="1">
      <c r="A28" s="14">
        <v>23.0</v>
      </c>
      <c r="B28" s="14" t="s">
        <v>132</v>
      </c>
      <c r="C28" s="14" t="s">
        <v>133</v>
      </c>
      <c r="D28" s="14" t="s">
        <v>134</v>
      </c>
      <c r="E28" s="14" t="s">
        <v>135</v>
      </c>
      <c r="F28" s="13" t="s">
        <v>54</v>
      </c>
      <c r="G28" s="14" t="s">
        <v>114</v>
      </c>
      <c r="H28" s="9" t="s">
        <v>49</v>
      </c>
      <c r="I28" s="21">
        <v>46146.0</v>
      </c>
      <c r="J28" s="14" t="s">
        <v>23</v>
      </c>
      <c r="K28" s="14" t="s">
        <v>136</v>
      </c>
      <c r="L28" s="14"/>
    </row>
    <row r="29" ht="14.25" customHeight="1">
      <c r="A29" s="18">
        <v>24.0</v>
      </c>
      <c r="B29" s="18" t="s">
        <v>137</v>
      </c>
      <c r="C29" s="18" t="s">
        <v>138</v>
      </c>
      <c r="D29" s="18" t="s">
        <v>139</v>
      </c>
      <c r="E29" s="18" t="s">
        <v>139</v>
      </c>
      <c r="F29" s="23" t="s">
        <v>41</v>
      </c>
      <c r="G29" s="18" t="s">
        <v>140</v>
      </c>
      <c r="H29" s="11" t="s">
        <v>49</v>
      </c>
      <c r="I29" s="19" t="s">
        <v>124</v>
      </c>
      <c r="J29" s="18" t="s">
        <v>23</v>
      </c>
      <c r="K29" s="18" t="s">
        <v>141</v>
      </c>
      <c r="L29" s="18"/>
    </row>
    <row r="30" ht="14.25" customHeight="1">
      <c r="A30" s="13">
        <v>25.0</v>
      </c>
      <c r="B30" s="24" t="s">
        <v>142</v>
      </c>
      <c r="C30" s="13" t="s">
        <v>143</v>
      </c>
      <c r="D30" s="24" t="s">
        <v>144</v>
      </c>
      <c r="E30" s="24" t="s">
        <v>145</v>
      </c>
      <c r="F30" s="25" t="s">
        <v>41</v>
      </c>
      <c r="G30" s="14" t="s">
        <v>48</v>
      </c>
      <c r="H30" s="9" t="s">
        <v>49</v>
      </c>
      <c r="I30" s="26">
        <v>46122.0</v>
      </c>
      <c r="J30" s="13" t="s">
        <v>23</v>
      </c>
      <c r="K30" s="13" t="s">
        <v>146</v>
      </c>
      <c r="L30" s="27" t="s">
        <v>147</v>
      </c>
    </row>
    <row r="31" ht="14.25" customHeight="1">
      <c r="A31" s="16">
        <v>26.0</v>
      </c>
      <c r="B31" s="28" t="s">
        <v>148</v>
      </c>
      <c r="C31" s="16" t="s">
        <v>149</v>
      </c>
      <c r="D31" s="29" t="s">
        <v>150</v>
      </c>
      <c r="E31" s="29" t="s">
        <v>151</v>
      </c>
      <c r="F31" s="23" t="s">
        <v>41</v>
      </c>
      <c r="G31" s="30" t="s">
        <v>114</v>
      </c>
      <c r="H31" s="11" t="s">
        <v>49</v>
      </c>
      <c r="I31" s="19" t="s">
        <v>124</v>
      </c>
      <c r="J31" s="16" t="s">
        <v>23</v>
      </c>
      <c r="K31" s="16" t="s">
        <v>152</v>
      </c>
      <c r="L31" s="29" t="s">
        <v>153</v>
      </c>
    </row>
    <row r="32" ht="14.25" customHeight="1">
      <c r="A32" s="13">
        <v>27.0</v>
      </c>
      <c r="B32" s="24" t="s">
        <v>154</v>
      </c>
      <c r="C32" s="13" t="s">
        <v>155</v>
      </c>
      <c r="D32" s="24" t="s">
        <v>156</v>
      </c>
      <c r="E32" s="24" t="s">
        <v>157</v>
      </c>
      <c r="F32" s="13" t="s">
        <v>54</v>
      </c>
      <c r="G32" s="13" t="s">
        <v>158</v>
      </c>
      <c r="H32" s="9" t="s">
        <v>49</v>
      </c>
      <c r="I32" s="22" t="s">
        <v>159</v>
      </c>
      <c r="J32" s="13" t="s">
        <v>23</v>
      </c>
      <c r="K32" s="14" t="s">
        <v>160</v>
      </c>
      <c r="L32" s="13"/>
      <c r="M32" s="7"/>
      <c r="N32" s="7"/>
      <c r="O32" s="7"/>
      <c r="P32" s="7"/>
      <c r="Q32" s="7"/>
      <c r="R32" s="7"/>
      <c r="S32" s="7"/>
      <c r="T32" s="7"/>
      <c r="U32" s="7"/>
      <c r="V32" s="7"/>
      <c r="W32" s="7"/>
      <c r="X32" s="7"/>
      <c r="Y32" s="7"/>
      <c r="Z32" s="7"/>
    </row>
    <row r="33" ht="14.25" customHeight="1">
      <c r="A33" s="16">
        <v>28.0</v>
      </c>
      <c r="B33" s="16" t="s">
        <v>161</v>
      </c>
      <c r="C33" s="16" t="s">
        <v>162</v>
      </c>
      <c r="D33" s="29" t="s">
        <v>163</v>
      </c>
      <c r="E33" s="29" t="s">
        <v>164</v>
      </c>
      <c r="F33" s="16" t="s">
        <v>54</v>
      </c>
      <c r="G33" s="16" t="s">
        <v>165</v>
      </c>
      <c r="H33" s="11" t="s">
        <v>49</v>
      </c>
      <c r="I33" s="19" t="s">
        <v>159</v>
      </c>
      <c r="J33" s="16" t="s">
        <v>23</v>
      </c>
      <c r="K33" s="18" t="s">
        <v>166</v>
      </c>
      <c r="L33" s="16"/>
      <c r="M33" s="7"/>
      <c r="N33" s="7"/>
      <c r="O33" s="7"/>
      <c r="P33" s="7"/>
      <c r="Q33" s="7"/>
      <c r="R33" s="7"/>
      <c r="S33" s="7"/>
      <c r="T33" s="7"/>
      <c r="U33" s="7"/>
      <c r="V33" s="7"/>
      <c r="W33" s="7"/>
      <c r="X33" s="7"/>
      <c r="Y33" s="7"/>
      <c r="Z33" s="7"/>
    </row>
    <row r="34" ht="58.5" customHeight="1">
      <c r="A34" s="13">
        <v>29.0</v>
      </c>
      <c r="B34" s="13" t="s">
        <v>167</v>
      </c>
      <c r="C34" s="13" t="s">
        <v>168</v>
      </c>
      <c r="D34" s="31" t="s">
        <v>169</v>
      </c>
      <c r="E34" s="31" t="s">
        <v>170</v>
      </c>
      <c r="F34" s="13" t="s">
        <v>54</v>
      </c>
      <c r="G34" s="13" t="s">
        <v>158</v>
      </c>
      <c r="H34" s="9" t="s">
        <v>49</v>
      </c>
      <c r="I34" s="22" t="s">
        <v>159</v>
      </c>
      <c r="J34" s="13" t="s">
        <v>23</v>
      </c>
      <c r="K34" s="14" t="s">
        <v>160</v>
      </c>
      <c r="L34" s="13"/>
    </row>
    <row r="35" ht="58.5" customHeight="1">
      <c r="A35" s="23">
        <v>30.0</v>
      </c>
      <c r="B35" s="23" t="s">
        <v>171</v>
      </c>
      <c r="C35" s="28" t="s">
        <v>172</v>
      </c>
      <c r="D35" s="32" t="s">
        <v>173</v>
      </c>
      <c r="E35" s="33" t="s">
        <v>174</v>
      </c>
      <c r="F35" s="23" t="s">
        <v>175</v>
      </c>
      <c r="G35" s="23" t="s">
        <v>48</v>
      </c>
      <c r="H35" s="11" t="s">
        <v>49</v>
      </c>
      <c r="I35" s="34">
        <v>46136.0</v>
      </c>
      <c r="J35" s="23" t="s">
        <v>23</v>
      </c>
      <c r="K35" s="11" t="s">
        <v>36</v>
      </c>
      <c r="L35" s="16"/>
    </row>
    <row r="36" ht="14.25" customHeight="1">
      <c r="I36" s="6"/>
      <c r="K36" s="7"/>
    </row>
    <row r="37" ht="14.25" customHeight="1">
      <c r="I37" s="6"/>
      <c r="K37" s="7"/>
    </row>
    <row r="38" ht="14.25" customHeight="1">
      <c r="I38" s="6"/>
      <c r="K38" s="7"/>
    </row>
    <row r="39" ht="14.25" customHeight="1">
      <c r="I39" s="6"/>
      <c r="K39" s="7"/>
    </row>
    <row r="40" ht="14.25" customHeight="1">
      <c r="I40" s="6"/>
      <c r="K40" s="7"/>
    </row>
    <row r="41" ht="14.25" customHeight="1">
      <c r="I41" s="6"/>
      <c r="K41" s="7"/>
    </row>
    <row r="42" ht="14.25" customHeight="1">
      <c r="I42" s="6"/>
      <c r="K42" s="7"/>
    </row>
    <row r="43" ht="14.25" customHeight="1">
      <c r="I43" s="6"/>
      <c r="K43" s="7"/>
    </row>
    <row r="44" ht="14.25" customHeight="1">
      <c r="I44" s="6"/>
      <c r="K44" s="7"/>
    </row>
    <row r="45" ht="14.25" customHeight="1">
      <c r="I45" s="6"/>
      <c r="K45" s="7"/>
    </row>
    <row r="46" ht="14.25" customHeight="1">
      <c r="I46" s="6"/>
      <c r="K46" s="7"/>
    </row>
    <row r="47" ht="14.25" customHeight="1">
      <c r="I47" s="6"/>
      <c r="K47" s="7"/>
    </row>
    <row r="48" ht="14.25" customHeight="1">
      <c r="I48" s="6"/>
      <c r="K48" s="7"/>
    </row>
    <row r="49" ht="14.25" customHeight="1">
      <c r="I49" s="6"/>
      <c r="K49" s="7"/>
    </row>
    <row r="50" ht="14.25" customHeight="1">
      <c r="I50" s="6"/>
      <c r="K50" s="7"/>
    </row>
    <row r="51" ht="14.25" customHeight="1">
      <c r="I51" s="6"/>
      <c r="K51" s="7"/>
    </row>
    <row r="52" ht="14.25" customHeight="1">
      <c r="I52" s="6"/>
      <c r="K52" s="7"/>
    </row>
    <row r="53" ht="14.25" customHeight="1">
      <c r="I53" s="6"/>
      <c r="K53" s="7"/>
    </row>
    <row r="54" ht="14.25" customHeight="1">
      <c r="I54" s="6"/>
      <c r="K54" s="7"/>
    </row>
    <row r="55" ht="14.25" customHeight="1">
      <c r="I55" s="6"/>
      <c r="K55" s="7"/>
    </row>
    <row r="56" ht="14.25" customHeight="1">
      <c r="I56" s="6"/>
      <c r="K56" s="7"/>
    </row>
    <row r="57" ht="14.25" customHeight="1">
      <c r="I57" s="6"/>
      <c r="K57" s="7"/>
    </row>
    <row r="58" ht="14.25" customHeight="1">
      <c r="I58" s="6"/>
      <c r="K58" s="7"/>
    </row>
    <row r="59" ht="14.25" customHeight="1">
      <c r="I59" s="6"/>
      <c r="K59" s="7"/>
    </row>
    <row r="60" ht="14.25" customHeight="1">
      <c r="I60" s="6"/>
      <c r="K60" s="7"/>
    </row>
    <row r="61" ht="14.25" customHeight="1">
      <c r="I61" s="6"/>
      <c r="K61" s="7"/>
    </row>
    <row r="62" ht="14.25" customHeight="1">
      <c r="I62" s="6"/>
      <c r="K62" s="7"/>
    </row>
    <row r="63" ht="14.25" customHeight="1">
      <c r="I63" s="6"/>
      <c r="K63" s="7"/>
    </row>
    <row r="64" ht="14.25" customHeight="1">
      <c r="I64" s="6"/>
      <c r="K64" s="7"/>
    </row>
    <row r="65" ht="14.25" customHeight="1">
      <c r="I65" s="6"/>
      <c r="K65" s="7"/>
    </row>
    <row r="66" ht="14.25" customHeight="1">
      <c r="I66" s="6"/>
      <c r="K66" s="7"/>
    </row>
    <row r="67" ht="14.25" customHeight="1">
      <c r="I67" s="6"/>
      <c r="K67" s="7"/>
    </row>
    <row r="68" ht="14.25" customHeight="1">
      <c r="I68" s="6"/>
      <c r="K68" s="7"/>
    </row>
    <row r="69" ht="14.25" customHeight="1">
      <c r="I69" s="6"/>
      <c r="K69" s="7"/>
    </row>
    <row r="70" ht="14.25" customHeight="1">
      <c r="I70" s="6"/>
      <c r="K70" s="7"/>
    </row>
    <row r="71" ht="14.25" customHeight="1">
      <c r="I71" s="6"/>
      <c r="K71" s="7"/>
    </row>
    <row r="72" ht="14.25" customHeight="1">
      <c r="I72" s="6"/>
      <c r="K72" s="7"/>
    </row>
    <row r="73" ht="14.25" customHeight="1">
      <c r="I73" s="6"/>
      <c r="K73" s="7"/>
    </row>
    <row r="74" ht="14.25" customHeight="1">
      <c r="I74" s="6"/>
      <c r="K74" s="7"/>
    </row>
    <row r="75" ht="14.25" customHeight="1">
      <c r="I75" s="6"/>
      <c r="K75" s="7"/>
    </row>
    <row r="76" ht="14.25" customHeight="1">
      <c r="I76" s="6"/>
      <c r="K76" s="7"/>
    </row>
    <row r="77" ht="14.25" customHeight="1">
      <c r="I77" s="6"/>
      <c r="K77" s="7"/>
    </row>
    <row r="78" ht="14.25" customHeight="1">
      <c r="I78" s="6"/>
      <c r="K78" s="7"/>
    </row>
    <row r="79" ht="14.25" customHeight="1">
      <c r="I79" s="6"/>
      <c r="K79" s="7"/>
    </row>
    <row r="80" ht="14.25" customHeight="1">
      <c r="I80" s="6"/>
      <c r="K80" s="7"/>
    </row>
    <row r="81" ht="14.25" customHeight="1">
      <c r="I81" s="6"/>
      <c r="K81" s="7"/>
    </row>
    <row r="82" ht="14.25" customHeight="1">
      <c r="I82" s="6"/>
      <c r="K82" s="7"/>
    </row>
    <row r="83" ht="14.25" customHeight="1">
      <c r="I83" s="6"/>
      <c r="K83" s="7"/>
    </row>
    <row r="84" ht="14.25" customHeight="1">
      <c r="I84" s="6"/>
      <c r="K84" s="7"/>
    </row>
    <row r="85" ht="14.25" customHeight="1">
      <c r="I85" s="6"/>
      <c r="K85" s="7"/>
    </row>
    <row r="86" ht="14.25" customHeight="1">
      <c r="I86" s="6"/>
      <c r="K86" s="7"/>
    </row>
    <row r="87" ht="14.25" customHeight="1">
      <c r="I87" s="6"/>
      <c r="K87" s="7"/>
    </row>
    <row r="88" ht="14.25" customHeight="1">
      <c r="I88" s="6"/>
      <c r="K88" s="7"/>
    </row>
    <row r="89" ht="14.25" customHeight="1">
      <c r="I89" s="6"/>
      <c r="K89" s="7"/>
    </row>
    <row r="90" ht="14.25" customHeight="1">
      <c r="I90" s="6"/>
      <c r="K90" s="7"/>
    </row>
    <row r="91" ht="14.25" customHeight="1">
      <c r="I91" s="6"/>
      <c r="K91" s="7"/>
    </row>
    <row r="92" ht="14.25" customHeight="1">
      <c r="I92" s="6"/>
      <c r="K92" s="7"/>
    </row>
    <row r="93" ht="14.25" customHeight="1">
      <c r="I93" s="6"/>
      <c r="K93" s="7"/>
    </row>
    <row r="94" ht="14.25" customHeight="1">
      <c r="I94" s="6"/>
      <c r="K94" s="7"/>
    </row>
    <row r="95" ht="14.25" customHeight="1">
      <c r="I95" s="6"/>
      <c r="K95" s="7"/>
    </row>
    <row r="96" ht="14.25" customHeight="1">
      <c r="I96" s="6"/>
      <c r="K96" s="7"/>
    </row>
    <row r="97" ht="14.25" customHeight="1">
      <c r="I97" s="6"/>
      <c r="K97" s="7"/>
    </row>
    <row r="98" ht="14.25" customHeight="1">
      <c r="I98" s="6"/>
      <c r="K98" s="7"/>
    </row>
    <row r="99" ht="14.25" customHeight="1">
      <c r="I99" s="6"/>
      <c r="K99" s="7"/>
    </row>
    <row r="100" ht="14.25" customHeight="1">
      <c r="I100" s="6"/>
      <c r="K100" s="7"/>
    </row>
    <row r="101" ht="14.25" customHeight="1">
      <c r="I101" s="6"/>
      <c r="K101" s="7"/>
    </row>
    <row r="102" ht="14.25" customHeight="1">
      <c r="I102" s="6"/>
      <c r="K102" s="7"/>
    </row>
    <row r="103" ht="14.25" customHeight="1">
      <c r="I103" s="6"/>
      <c r="K103" s="7"/>
    </row>
    <row r="104" ht="14.25" customHeight="1">
      <c r="I104" s="6"/>
      <c r="K104" s="7"/>
    </row>
    <row r="105" ht="14.25" customHeight="1">
      <c r="I105" s="6"/>
      <c r="K105" s="7"/>
    </row>
    <row r="106" ht="14.25" customHeight="1">
      <c r="I106" s="6"/>
      <c r="K106" s="7"/>
    </row>
    <row r="107" ht="14.25" customHeight="1">
      <c r="I107" s="6"/>
      <c r="K107" s="7"/>
    </row>
    <row r="108" ht="14.25" customHeight="1">
      <c r="I108" s="6"/>
      <c r="K108" s="7"/>
    </row>
    <row r="109" ht="14.25" customHeight="1">
      <c r="I109" s="6"/>
      <c r="K109" s="7"/>
    </row>
    <row r="110" ht="14.25" customHeight="1">
      <c r="I110" s="6"/>
      <c r="K110" s="7"/>
    </row>
    <row r="111" ht="14.25" customHeight="1">
      <c r="I111" s="6"/>
      <c r="K111" s="7"/>
    </row>
    <row r="112" ht="14.25" customHeight="1">
      <c r="I112" s="6"/>
      <c r="K112" s="7"/>
    </row>
    <row r="113" ht="14.25" customHeight="1">
      <c r="I113" s="6"/>
      <c r="K113" s="7"/>
    </row>
    <row r="114" ht="14.25" customHeight="1">
      <c r="I114" s="6"/>
      <c r="K114" s="7"/>
    </row>
    <row r="115" ht="14.25" customHeight="1">
      <c r="I115" s="6"/>
      <c r="K115" s="7"/>
    </row>
    <row r="116" ht="14.25" customHeight="1">
      <c r="I116" s="6"/>
      <c r="K116" s="7"/>
    </row>
    <row r="117" ht="14.25" customHeight="1">
      <c r="I117" s="6"/>
      <c r="K117" s="7"/>
    </row>
    <row r="118" ht="14.25" customHeight="1">
      <c r="I118" s="6"/>
      <c r="K118" s="7"/>
    </row>
    <row r="119" ht="14.25" customHeight="1">
      <c r="I119" s="6"/>
      <c r="K119" s="7"/>
    </row>
    <row r="120" ht="14.25" customHeight="1">
      <c r="I120" s="6"/>
      <c r="K120" s="7"/>
    </row>
    <row r="121" ht="14.25" customHeight="1">
      <c r="I121" s="6"/>
      <c r="K121" s="7"/>
    </row>
    <row r="122" ht="14.25" customHeight="1">
      <c r="I122" s="6"/>
      <c r="K122" s="7"/>
    </row>
    <row r="123" ht="14.25" customHeight="1">
      <c r="I123" s="6"/>
      <c r="K123" s="7"/>
    </row>
    <row r="124" ht="14.25" customHeight="1">
      <c r="I124" s="6"/>
      <c r="K124" s="7"/>
    </row>
    <row r="125" ht="14.25" customHeight="1">
      <c r="I125" s="6"/>
      <c r="K125" s="7"/>
    </row>
    <row r="126" ht="14.25" customHeight="1">
      <c r="I126" s="6"/>
      <c r="K126" s="7"/>
    </row>
    <row r="127" ht="14.25" customHeight="1">
      <c r="I127" s="6"/>
      <c r="K127" s="7"/>
    </row>
    <row r="128" ht="14.25" customHeight="1">
      <c r="I128" s="6"/>
      <c r="K128" s="7"/>
    </row>
    <row r="129" ht="14.25" customHeight="1">
      <c r="I129" s="6"/>
      <c r="K129" s="7"/>
    </row>
    <row r="130" ht="14.25" customHeight="1">
      <c r="I130" s="6"/>
      <c r="K130" s="7"/>
    </row>
    <row r="131" ht="14.25" customHeight="1">
      <c r="I131" s="6"/>
      <c r="K131" s="7"/>
    </row>
    <row r="132" ht="14.25" customHeight="1">
      <c r="I132" s="6"/>
      <c r="K132" s="7"/>
    </row>
    <row r="133" ht="14.25" customHeight="1">
      <c r="I133" s="6"/>
      <c r="K133" s="7"/>
    </row>
    <row r="134" ht="14.25" customHeight="1">
      <c r="I134" s="6"/>
      <c r="K134" s="7"/>
    </row>
    <row r="135" ht="14.25" customHeight="1">
      <c r="I135" s="6"/>
      <c r="K135" s="7"/>
    </row>
    <row r="136" ht="14.25" customHeight="1">
      <c r="I136" s="6"/>
      <c r="K136" s="7"/>
    </row>
    <row r="137" ht="14.25" customHeight="1">
      <c r="I137" s="6"/>
      <c r="K137" s="7"/>
    </row>
    <row r="138" ht="14.25" customHeight="1">
      <c r="I138" s="6"/>
      <c r="K138" s="7"/>
    </row>
    <row r="139" ht="14.25" customHeight="1">
      <c r="I139" s="6"/>
      <c r="K139" s="7"/>
    </row>
    <row r="140" ht="14.25" customHeight="1">
      <c r="I140" s="6"/>
      <c r="K140" s="7"/>
    </row>
    <row r="141" ht="14.25" customHeight="1">
      <c r="I141" s="6"/>
      <c r="K141" s="7"/>
    </row>
    <row r="142" ht="14.25" customHeight="1">
      <c r="I142" s="6"/>
      <c r="K142" s="7"/>
    </row>
    <row r="143" ht="14.25" customHeight="1">
      <c r="I143" s="6"/>
      <c r="K143" s="7"/>
    </row>
    <row r="144" ht="14.25" customHeight="1">
      <c r="I144" s="6"/>
      <c r="K144" s="7"/>
    </row>
    <row r="145" ht="14.25" customHeight="1">
      <c r="I145" s="6"/>
      <c r="K145" s="7"/>
    </row>
    <row r="146" ht="14.25" customHeight="1">
      <c r="I146" s="6"/>
      <c r="K146" s="7"/>
    </row>
    <row r="147" ht="14.25" customHeight="1">
      <c r="I147" s="6"/>
      <c r="K147" s="7"/>
    </row>
    <row r="148" ht="14.25" customHeight="1">
      <c r="I148" s="6"/>
      <c r="K148" s="7"/>
    </row>
    <row r="149" ht="14.25" customHeight="1">
      <c r="I149" s="6"/>
      <c r="K149" s="7"/>
    </row>
    <row r="150" ht="14.25" customHeight="1">
      <c r="I150" s="6"/>
      <c r="K150" s="7"/>
    </row>
    <row r="151" ht="14.25" customHeight="1">
      <c r="I151" s="6"/>
      <c r="K151" s="7"/>
    </row>
    <row r="152" ht="14.25" customHeight="1">
      <c r="I152" s="6"/>
      <c r="K152" s="7"/>
    </row>
    <row r="153" ht="14.25" customHeight="1">
      <c r="I153" s="6"/>
      <c r="K153" s="7"/>
    </row>
    <row r="154" ht="14.25" customHeight="1">
      <c r="I154" s="6"/>
      <c r="K154" s="7"/>
    </row>
    <row r="155" ht="14.25" customHeight="1">
      <c r="I155" s="6"/>
      <c r="K155" s="7"/>
    </row>
    <row r="156" ht="14.25" customHeight="1">
      <c r="I156" s="6"/>
      <c r="K156" s="7"/>
    </row>
    <row r="157" ht="14.25" customHeight="1">
      <c r="I157" s="6"/>
      <c r="K157" s="7"/>
    </row>
    <row r="158" ht="14.25" customHeight="1">
      <c r="I158" s="6"/>
      <c r="K158" s="7"/>
    </row>
    <row r="159" ht="14.25" customHeight="1">
      <c r="I159" s="6"/>
      <c r="K159" s="7"/>
    </row>
    <row r="160" ht="14.25" customHeight="1">
      <c r="I160" s="6"/>
      <c r="K160" s="7"/>
    </row>
    <row r="161" ht="14.25" customHeight="1">
      <c r="I161" s="6"/>
      <c r="K161" s="7"/>
    </row>
    <row r="162" ht="14.25" customHeight="1">
      <c r="I162" s="6"/>
      <c r="K162" s="7"/>
    </row>
    <row r="163" ht="14.25" customHeight="1">
      <c r="I163" s="6"/>
      <c r="K163" s="7"/>
    </row>
    <row r="164" ht="14.25" customHeight="1">
      <c r="I164" s="6"/>
      <c r="K164" s="7"/>
    </row>
    <row r="165" ht="14.25" customHeight="1">
      <c r="I165" s="6"/>
      <c r="K165" s="7"/>
    </row>
    <row r="166" ht="14.25" customHeight="1">
      <c r="I166" s="6"/>
      <c r="K166" s="7"/>
    </row>
    <row r="167" ht="14.25" customHeight="1">
      <c r="I167" s="6"/>
      <c r="K167" s="7"/>
    </row>
    <row r="168" ht="14.25" customHeight="1">
      <c r="I168" s="6"/>
      <c r="K168" s="7"/>
    </row>
    <row r="169" ht="14.25" customHeight="1">
      <c r="I169" s="6"/>
      <c r="K169" s="7"/>
    </row>
    <row r="170" ht="14.25" customHeight="1">
      <c r="I170" s="6"/>
      <c r="K170" s="7"/>
    </row>
    <row r="171" ht="14.25" customHeight="1">
      <c r="I171" s="6"/>
      <c r="K171" s="7"/>
    </row>
    <row r="172" ht="14.25" customHeight="1">
      <c r="I172" s="6"/>
      <c r="K172" s="7"/>
    </row>
    <row r="173" ht="14.25" customHeight="1">
      <c r="I173" s="6"/>
      <c r="K173" s="7"/>
    </row>
    <row r="174" ht="14.25" customHeight="1">
      <c r="I174" s="6"/>
      <c r="K174" s="7"/>
    </row>
    <row r="175" ht="14.25" customHeight="1">
      <c r="I175" s="6"/>
      <c r="K175" s="7"/>
    </row>
    <row r="176" ht="14.25" customHeight="1">
      <c r="I176" s="6"/>
      <c r="K176" s="7"/>
    </row>
    <row r="177" ht="14.25" customHeight="1">
      <c r="I177" s="6"/>
      <c r="K177" s="7"/>
    </row>
    <row r="178" ht="14.25" customHeight="1">
      <c r="I178" s="6"/>
      <c r="K178" s="7"/>
    </row>
    <row r="179" ht="14.25" customHeight="1">
      <c r="I179" s="6"/>
      <c r="K179" s="7"/>
    </row>
    <row r="180" ht="14.25" customHeight="1">
      <c r="I180" s="6"/>
      <c r="K180" s="7"/>
    </row>
    <row r="181" ht="14.25" customHeight="1">
      <c r="I181" s="6"/>
      <c r="K181" s="7"/>
    </row>
    <row r="182" ht="14.25" customHeight="1">
      <c r="I182" s="6"/>
      <c r="K182" s="7"/>
    </row>
    <row r="183" ht="14.25" customHeight="1">
      <c r="I183" s="6"/>
      <c r="K183" s="7"/>
    </row>
    <row r="184" ht="14.25" customHeight="1">
      <c r="I184" s="6"/>
      <c r="K184" s="7"/>
    </row>
    <row r="185" ht="14.25" customHeight="1">
      <c r="I185" s="6"/>
      <c r="K185" s="7"/>
    </row>
    <row r="186" ht="14.25" customHeight="1">
      <c r="I186" s="6"/>
      <c r="K186" s="7"/>
    </row>
    <row r="187" ht="14.25" customHeight="1">
      <c r="I187" s="6"/>
      <c r="K187" s="7"/>
    </row>
    <row r="188" ht="14.25" customHeight="1">
      <c r="I188" s="6"/>
      <c r="K188" s="7"/>
    </row>
    <row r="189" ht="14.25" customHeight="1">
      <c r="I189" s="6"/>
      <c r="K189" s="7"/>
    </row>
    <row r="190" ht="14.25" customHeight="1">
      <c r="I190" s="6"/>
      <c r="K190" s="7"/>
    </row>
    <row r="191" ht="14.25" customHeight="1">
      <c r="I191" s="6"/>
      <c r="K191" s="7"/>
    </row>
    <row r="192" ht="14.25" customHeight="1">
      <c r="I192" s="6"/>
      <c r="K192" s="7"/>
    </row>
    <row r="193" ht="14.25" customHeight="1">
      <c r="I193" s="6"/>
      <c r="K193" s="7"/>
    </row>
    <row r="194" ht="14.25" customHeight="1">
      <c r="I194" s="6"/>
      <c r="K194" s="7"/>
    </row>
    <row r="195" ht="14.25" customHeight="1">
      <c r="I195" s="6"/>
      <c r="K195" s="7"/>
    </row>
    <row r="196" ht="14.25" customHeight="1">
      <c r="I196" s="6"/>
      <c r="K196" s="7"/>
    </row>
    <row r="197" ht="14.25" customHeight="1">
      <c r="I197" s="6"/>
      <c r="K197" s="7"/>
    </row>
    <row r="198" ht="14.25" customHeight="1">
      <c r="I198" s="6"/>
      <c r="K198" s="7"/>
    </row>
    <row r="199" ht="14.25" customHeight="1">
      <c r="I199" s="6"/>
      <c r="K199" s="7"/>
    </row>
    <row r="200" ht="14.25" customHeight="1">
      <c r="I200" s="6"/>
      <c r="K200" s="7"/>
    </row>
    <row r="201" ht="14.25" customHeight="1">
      <c r="I201" s="6"/>
      <c r="K201" s="7"/>
    </row>
    <row r="202" ht="14.25" customHeight="1">
      <c r="I202" s="6"/>
      <c r="K202" s="7"/>
    </row>
    <row r="203" ht="14.25" customHeight="1">
      <c r="I203" s="6"/>
      <c r="K203" s="7"/>
    </row>
    <row r="204" ht="14.25" customHeight="1">
      <c r="I204" s="6"/>
      <c r="K204" s="7"/>
    </row>
    <row r="205" ht="14.25" customHeight="1">
      <c r="I205" s="6"/>
      <c r="K205" s="7"/>
    </row>
    <row r="206" ht="14.25" customHeight="1">
      <c r="I206" s="6"/>
      <c r="K206" s="7"/>
    </row>
    <row r="207" ht="14.25" customHeight="1">
      <c r="I207" s="6"/>
      <c r="K207" s="7"/>
    </row>
    <row r="208" ht="14.25" customHeight="1">
      <c r="I208" s="6"/>
      <c r="K208" s="7"/>
    </row>
    <row r="209" ht="14.25" customHeight="1">
      <c r="I209" s="6"/>
      <c r="K209" s="7"/>
    </row>
    <row r="210" ht="14.25" customHeight="1">
      <c r="I210" s="6"/>
      <c r="K210" s="7"/>
    </row>
    <row r="211" ht="14.25" customHeight="1">
      <c r="I211" s="6"/>
      <c r="K211" s="7"/>
    </row>
    <row r="212" ht="14.25" customHeight="1">
      <c r="I212" s="6"/>
      <c r="K212" s="7"/>
    </row>
    <row r="213" ht="14.25" customHeight="1">
      <c r="I213" s="6"/>
      <c r="K213" s="7"/>
    </row>
    <row r="214" ht="14.25" customHeight="1">
      <c r="I214" s="6"/>
      <c r="K214" s="7"/>
    </row>
    <row r="215" ht="14.25" customHeight="1">
      <c r="I215" s="6"/>
      <c r="K215" s="7"/>
    </row>
    <row r="216" ht="14.25" customHeight="1">
      <c r="I216" s="6"/>
      <c r="K216" s="7"/>
    </row>
    <row r="217" ht="14.25" customHeight="1">
      <c r="I217" s="6"/>
      <c r="K217" s="7"/>
    </row>
    <row r="218" ht="14.25" customHeight="1">
      <c r="I218" s="6"/>
      <c r="K218" s="7"/>
    </row>
    <row r="219" ht="14.25" customHeight="1">
      <c r="I219" s="6"/>
      <c r="K219" s="7"/>
    </row>
    <row r="220" ht="14.25" customHeight="1">
      <c r="I220" s="6"/>
      <c r="K220" s="7"/>
    </row>
    <row r="221" ht="14.25" customHeight="1">
      <c r="I221" s="6"/>
      <c r="K221" s="7"/>
    </row>
    <row r="222" ht="14.25" customHeight="1">
      <c r="I222" s="6"/>
      <c r="K222" s="7"/>
    </row>
    <row r="223" ht="14.25" customHeight="1">
      <c r="I223" s="6"/>
      <c r="K223" s="7"/>
    </row>
    <row r="224" ht="14.25" customHeight="1">
      <c r="I224" s="6"/>
      <c r="K224" s="7"/>
    </row>
    <row r="225" ht="14.25" customHeight="1">
      <c r="I225" s="6"/>
      <c r="K225" s="7"/>
    </row>
    <row r="226" ht="14.25" customHeight="1">
      <c r="I226" s="6"/>
      <c r="K226" s="7"/>
    </row>
    <row r="227" ht="14.25" customHeight="1">
      <c r="I227" s="6"/>
      <c r="K227" s="7"/>
    </row>
    <row r="228" ht="14.25" customHeight="1">
      <c r="I228" s="6"/>
      <c r="K228" s="7"/>
    </row>
    <row r="229" ht="14.25" customHeight="1">
      <c r="I229" s="6"/>
      <c r="K229" s="7"/>
    </row>
    <row r="230" ht="14.25" customHeight="1">
      <c r="I230" s="6"/>
      <c r="K230" s="7"/>
    </row>
    <row r="231" ht="14.25" customHeight="1">
      <c r="I231" s="6"/>
      <c r="K231" s="7"/>
    </row>
    <row r="232" ht="14.25" customHeight="1">
      <c r="I232" s="6"/>
      <c r="K232" s="7"/>
    </row>
    <row r="233" ht="14.25" customHeight="1">
      <c r="I233" s="6"/>
      <c r="K233" s="7"/>
    </row>
    <row r="234" ht="14.25" customHeight="1">
      <c r="I234" s="6"/>
      <c r="K234" s="7"/>
    </row>
    <row r="235" ht="14.25" customHeight="1">
      <c r="I235" s="6"/>
      <c r="K235" s="7"/>
    </row>
    <row r="236" ht="14.25" customHeight="1">
      <c r="I236" s="6"/>
      <c r="K236" s="7"/>
    </row>
    <row r="237" ht="14.25" customHeight="1">
      <c r="I237" s="6"/>
      <c r="K237" s="7"/>
    </row>
    <row r="238" ht="14.25" customHeight="1">
      <c r="I238" s="6"/>
      <c r="K238" s="7"/>
    </row>
    <row r="239" ht="14.25" customHeight="1">
      <c r="I239" s="6"/>
      <c r="K239" s="7"/>
    </row>
    <row r="240" ht="14.25" customHeight="1">
      <c r="I240" s="6"/>
      <c r="K240" s="7"/>
    </row>
    <row r="241" ht="14.25" customHeight="1">
      <c r="I241" s="6"/>
      <c r="K241" s="7"/>
    </row>
    <row r="242" ht="14.25" customHeight="1">
      <c r="I242" s="6"/>
      <c r="K242" s="7"/>
    </row>
    <row r="243" ht="14.25" customHeight="1">
      <c r="I243" s="6"/>
      <c r="K243" s="7"/>
    </row>
    <row r="244" ht="14.25" customHeight="1">
      <c r="I244" s="6"/>
      <c r="K244" s="7"/>
    </row>
    <row r="245" ht="14.25" customHeight="1">
      <c r="I245" s="6"/>
      <c r="K245" s="7"/>
    </row>
    <row r="246" ht="14.25" customHeight="1">
      <c r="I246" s="6"/>
      <c r="K246" s="7"/>
    </row>
    <row r="247" ht="14.25" customHeight="1">
      <c r="I247" s="6"/>
      <c r="K247" s="7"/>
    </row>
    <row r="248" ht="14.25" customHeight="1">
      <c r="I248" s="6"/>
      <c r="K248" s="7"/>
    </row>
    <row r="249" ht="14.25" customHeight="1">
      <c r="I249" s="6"/>
      <c r="K249" s="7"/>
    </row>
    <row r="250" ht="14.25" customHeight="1">
      <c r="I250" s="6"/>
      <c r="K250" s="7"/>
    </row>
    <row r="251" ht="14.25" customHeight="1">
      <c r="I251" s="6"/>
      <c r="K251" s="7"/>
    </row>
    <row r="252" ht="14.25" customHeight="1">
      <c r="I252" s="6"/>
      <c r="K252" s="7"/>
    </row>
    <row r="253" ht="14.25" customHeight="1">
      <c r="I253" s="6"/>
      <c r="K253" s="7"/>
    </row>
    <row r="254" ht="14.25" customHeight="1">
      <c r="I254" s="6"/>
      <c r="K254" s="7"/>
    </row>
    <row r="255" ht="14.25" customHeight="1">
      <c r="I255" s="6"/>
      <c r="K255" s="7"/>
    </row>
    <row r="256" ht="14.25" customHeight="1">
      <c r="I256" s="6"/>
      <c r="K256" s="7"/>
    </row>
    <row r="257" ht="14.25" customHeight="1">
      <c r="I257" s="6"/>
      <c r="K257" s="7"/>
    </row>
    <row r="258" ht="14.25" customHeight="1">
      <c r="I258" s="6"/>
      <c r="K258" s="7"/>
    </row>
    <row r="259" ht="14.25" customHeight="1">
      <c r="I259" s="6"/>
      <c r="K259" s="7"/>
    </row>
    <row r="260" ht="14.25" customHeight="1">
      <c r="I260" s="6"/>
      <c r="K260" s="7"/>
    </row>
    <row r="261" ht="14.25" customHeight="1">
      <c r="I261" s="6"/>
      <c r="K261" s="7"/>
    </row>
    <row r="262" ht="14.25" customHeight="1">
      <c r="I262" s="6"/>
      <c r="K262" s="7"/>
    </row>
    <row r="263" ht="14.25" customHeight="1">
      <c r="I263" s="6"/>
      <c r="K263" s="7"/>
    </row>
    <row r="264" ht="14.25" customHeight="1">
      <c r="I264" s="6"/>
      <c r="K264" s="7"/>
    </row>
    <row r="265" ht="14.25" customHeight="1">
      <c r="I265" s="6"/>
      <c r="K265" s="7"/>
    </row>
    <row r="266" ht="14.25" customHeight="1">
      <c r="I266" s="6"/>
      <c r="K266" s="7"/>
    </row>
    <row r="267" ht="14.25" customHeight="1">
      <c r="I267" s="6"/>
      <c r="K267" s="7"/>
    </row>
    <row r="268" ht="14.25" customHeight="1">
      <c r="I268" s="6"/>
      <c r="K268" s="7"/>
    </row>
    <row r="269" ht="14.25" customHeight="1">
      <c r="I269" s="6"/>
      <c r="K269" s="7"/>
    </row>
    <row r="270" ht="14.25" customHeight="1">
      <c r="I270" s="6"/>
      <c r="K270" s="7"/>
    </row>
    <row r="271" ht="14.25" customHeight="1">
      <c r="I271" s="6"/>
      <c r="K271" s="7"/>
    </row>
    <row r="272" ht="14.25" customHeight="1">
      <c r="I272" s="6"/>
      <c r="K272" s="7"/>
    </row>
    <row r="273" ht="14.25" customHeight="1">
      <c r="I273" s="6"/>
      <c r="K273" s="7"/>
    </row>
    <row r="274" ht="14.25" customHeight="1">
      <c r="I274" s="6"/>
      <c r="K274" s="7"/>
    </row>
    <row r="275" ht="14.25" customHeight="1">
      <c r="I275" s="6"/>
      <c r="K275" s="7"/>
    </row>
    <row r="276" ht="14.25" customHeight="1">
      <c r="I276" s="6"/>
      <c r="K276" s="7"/>
    </row>
    <row r="277" ht="14.25" customHeight="1">
      <c r="I277" s="6"/>
      <c r="K277" s="7"/>
    </row>
    <row r="278" ht="14.25" customHeight="1">
      <c r="I278" s="6"/>
      <c r="K278" s="7"/>
    </row>
    <row r="279" ht="14.25" customHeight="1">
      <c r="I279" s="6"/>
      <c r="K279" s="7"/>
    </row>
    <row r="280" ht="14.25" customHeight="1">
      <c r="I280" s="6"/>
      <c r="K280" s="7"/>
    </row>
    <row r="281" ht="14.25" customHeight="1">
      <c r="I281" s="6"/>
      <c r="K281" s="7"/>
    </row>
    <row r="282" ht="14.25" customHeight="1">
      <c r="I282" s="6"/>
      <c r="K282" s="7"/>
    </row>
    <row r="283" ht="14.25" customHeight="1">
      <c r="I283" s="6"/>
      <c r="K283" s="7"/>
    </row>
    <row r="284" ht="14.25" customHeight="1">
      <c r="I284" s="6"/>
      <c r="K284" s="7"/>
    </row>
    <row r="285" ht="14.25" customHeight="1">
      <c r="I285" s="6"/>
      <c r="K285" s="7"/>
    </row>
    <row r="286" ht="14.25" customHeight="1">
      <c r="I286" s="6"/>
      <c r="K286" s="7"/>
    </row>
    <row r="287" ht="14.25" customHeight="1">
      <c r="I287" s="6"/>
      <c r="K287" s="7"/>
    </row>
    <row r="288" ht="14.25" customHeight="1">
      <c r="I288" s="6"/>
      <c r="K288" s="7"/>
    </row>
    <row r="289" ht="14.25" customHeight="1">
      <c r="I289" s="6"/>
      <c r="K289" s="7"/>
    </row>
    <row r="290" ht="14.25" customHeight="1">
      <c r="I290" s="6"/>
      <c r="K290" s="7"/>
    </row>
    <row r="291" ht="14.25" customHeight="1">
      <c r="I291" s="6"/>
      <c r="K291" s="7"/>
    </row>
    <row r="292" ht="14.25" customHeight="1">
      <c r="I292" s="6"/>
      <c r="K292" s="7"/>
    </row>
    <row r="293" ht="14.25" customHeight="1">
      <c r="I293" s="6"/>
      <c r="K293" s="7"/>
    </row>
    <row r="294" ht="14.25" customHeight="1">
      <c r="I294" s="6"/>
      <c r="K294" s="7"/>
    </row>
    <row r="295" ht="14.25" customHeight="1">
      <c r="I295" s="6"/>
      <c r="K295" s="7"/>
    </row>
    <row r="296" ht="14.25" customHeight="1">
      <c r="I296" s="6"/>
      <c r="K296" s="7"/>
    </row>
    <row r="297" ht="14.25" customHeight="1">
      <c r="I297" s="6"/>
      <c r="K297" s="7"/>
    </row>
    <row r="298" ht="14.25" customHeight="1">
      <c r="I298" s="6"/>
      <c r="K298" s="7"/>
    </row>
    <row r="299" ht="14.25" customHeight="1">
      <c r="I299" s="6"/>
      <c r="K299" s="7"/>
    </row>
    <row r="300" ht="14.25" customHeight="1">
      <c r="I300" s="6"/>
      <c r="K300" s="7"/>
    </row>
    <row r="301" ht="14.25" customHeight="1">
      <c r="I301" s="6"/>
      <c r="K301" s="7"/>
    </row>
    <row r="302" ht="14.25" customHeight="1">
      <c r="I302" s="6"/>
      <c r="K302" s="7"/>
    </row>
    <row r="303" ht="14.25" customHeight="1">
      <c r="I303" s="6"/>
      <c r="K303" s="7"/>
    </row>
    <row r="304" ht="14.25" customHeight="1">
      <c r="I304" s="6"/>
      <c r="K304" s="7"/>
    </row>
    <row r="305" ht="14.25" customHeight="1">
      <c r="I305" s="6"/>
      <c r="K305" s="7"/>
    </row>
    <row r="306" ht="14.25" customHeight="1">
      <c r="I306" s="6"/>
      <c r="K306" s="7"/>
    </row>
    <row r="307" ht="14.25" customHeight="1">
      <c r="I307" s="6"/>
      <c r="K307" s="7"/>
    </row>
    <row r="308" ht="14.25" customHeight="1">
      <c r="I308" s="6"/>
      <c r="K308" s="7"/>
    </row>
    <row r="309" ht="14.25" customHeight="1">
      <c r="I309" s="6"/>
      <c r="K309" s="7"/>
    </row>
    <row r="310" ht="14.25" customHeight="1">
      <c r="I310" s="6"/>
      <c r="K310" s="7"/>
    </row>
    <row r="311" ht="14.25" customHeight="1">
      <c r="I311" s="6"/>
      <c r="K311" s="7"/>
    </row>
    <row r="312" ht="14.25" customHeight="1">
      <c r="I312" s="6"/>
      <c r="K312" s="7"/>
    </row>
    <row r="313" ht="14.25" customHeight="1">
      <c r="I313" s="6"/>
      <c r="K313" s="7"/>
    </row>
    <row r="314" ht="14.25" customHeight="1">
      <c r="I314" s="6"/>
      <c r="K314" s="7"/>
    </row>
    <row r="315" ht="14.25" customHeight="1">
      <c r="I315" s="6"/>
      <c r="K315" s="7"/>
    </row>
    <row r="316" ht="14.25" customHeight="1">
      <c r="I316" s="6"/>
      <c r="K316" s="7"/>
    </row>
    <row r="317" ht="14.25" customHeight="1">
      <c r="I317" s="6"/>
      <c r="K317" s="7"/>
    </row>
    <row r="318" ht="14.25" customHeight="1">
      <c r="I318" s="6"/>
      <c r="K318" s="7"/>
    </row>
    <row r="319" ht="14.25" customHeight="1">
      <c r="I319" s="6"/>
      <c r="K319" s="7"/>
    </row>
    <row r="320" ht="14.25" customHeight="1">
      <c r="I320" s="6"/>
      <c r="K320" s="7"/>
    </row>
    <row r="321" ht="14.25" customHeight="1">
      <c r="I321" s="6"/>
      <c r="K321" s="7"/>
    </row>
    <row r="322" ht="14.25" customHeight="1">
      <c r="I322" s="6"/>
      <c r="K322" s="7"/>
    </row>
    <row r="323" ht="14.25" customHeight="1">
      <c r="I323" s="6"/>
      <c r="K323" s="7"/>
    </row>
    <row r="324" ht="14.25" customHeight="1">
      <c r="I324" s="6"/>
      <c r="K324" s="7"/>
    </row>
    <row r="325" ht="14.25" customHeight="1">
      <c r="I325" s="6"/>
      <c r="K325" s="7"/>
    </row>
    <row r="326" ht="14.25" customHeight="1">
      <c r="I326" s="6"/>
      <c r="K326" s="7"/>
    </row>
    <row r="327" ht="14.25" customHeight="1">
      <c r="I327" s="6"/>
      <c r="K327" s="7"/>
    </row>
    <row r="328" ht="14.25" customHeight="1">
      <c r="I328" s="6"/>
      <c r="K328" s="7"/>
    </row>
    <row r="329" ht="14.25" customHeight="1">
      <c r="I329" s="6"/>
      <c r="K329" s="7"/>
    </row>
    <row r="330" ht="14.25" customHeight="1">
      <c r="I330" s="6"/>
      <c r="K330" s="7"/>
    </row>
    <row r="331" ht="14.25" customHeight="1">
      <c r="I331" s="6"/>
      <c r="K331" s="7"/>
    </row>
    <row r="332" ht="14.25" customHeight="1">
      <c r="I332" s="6"/>
      <c r="K332" s="7"/>
    </row>
    <row r="333" ht="14.25" customHeight="1">
      <c r="I333" s="6"/>
      <c r="K333" s="7"/>
    </row>
    <row r="334" ht="14.25" customHeight="1">
      <c r="I334" s="6"/>
      <c r="K334" s="7"/>
    </row>
    <row r="335" ht="14.25" customHeight="1">
      <c r="I335" s="6"/>
      <c r="K335" s="7"/>
    </row>
    <row r="336" ht="14.25" customHeight="1">
      <c r="I336" s="6"/>
      <c r="K336" s="7"/>
    </row>
    <row r="337" ht="14.25" customHeight="1">
      <c r="I337" s="6"/>
      <c r="K337" s="7"/>
    </row>
    <row r="338" ht="14.25" customHeight="1">
      <c r="I338" s="6"/>
      <c r="K338" s="7"/>
    </row>
    <row r="339" ht="14.25" customHeight="1">
      <c r="I339" s="6"/>
      <c r="K339" s="7"/>
    </row>
    <row r="340" ht="14.25" customHeight="1">
      <c r="I340" s="6"/>
      <c r="K340" s="7"/>
    </row>
    <row r="341" ht="14.25" customHeight="1">
      <c r="I341" s="6"/>
      <c r="K341" s="7"/>
    </row>
    <row r="342" ht="14.25" customHeight="1">
      <c r="I342" s="6"/>
      <c r="K342" s="7"/>
    </row>
    <row r="343" ht="14.25" customHeight="1">
      <c r="I343" s="6"/>
      <c r="K343" s="7"/>
    </row>
    <row r="344" ht="14.25" customHeight="1">
      <c r="I344" s="6"/>
      <c r="K344" s="7"/>
    </row>
    <row r="345" ht="14.25" customHeight="1">
      <c r="I345" s="6"/>
      <c r="K345" s="7"/>
    </row>
    <row r="346" ht="14.25" customHeight="1">
      <c r="I346" s="6"/>
      <c r="K346" s="7"/>
    </row>
    <row r="347" ht="14.25" customHeight="1">
      <c r="I347" s="6"/>
      <c r="K347" s="7"/>
    </row>
    <row r="348" ht="14.25" customHeight="1">
      <c r="I348" s="6"/>
      <c r="K348" s="7"/>
    </row>
    <row r="349" ht="14.25" customHeight="1">
      <c r="I349" s="6"/>
      <c r="K349" s="7"/>
    </row>
    <row r="350" ht="14.25" customHeight="1">
      <c r="I350" s="6"/>
      <c r="K350" s="7"/>
    </row>
    <row r="351" ht="14.25" customHeight="1">
      <c r="I351" s="6"/>
      <c r="K351" s="7"/>
    </row>
    <row r="352" ht="14.25" customHeight="1">
      <c r="I352" s="6"/>
      <c r="K352" s="7"/>
    </row>
    <row r="353" ht="14.25" customHeight="1">
      <c r="I353" s="6"/>
      <c r="K353" s="7"/>
    </row>
    <row r="354" ht="14.25" customHeight="1">
      <c r="I354" s="6"/>
      <c r="K354" s="7"/>
    </row>
    <row r="355" ht="14.25" customHeight="1">
      <c r="I355" s="6"/>
      <c r="K355" s="7"/>
    </row>
    <row r="356" ht="14.25" customHeight="1">
      <c r="I356" s="6"/>
      <c r="K356" s="7"/>
    </row>
    <row r="357" ht="14.25" customHeight="1">
      <c r="I357" s="6"/>
      <c r="K357" s="7"/>
    </row>
    <row r="358" ht="14.25" customHeight="1">
      <c r="I358" s="6"/>
      <c r="K358" s="7"/>
    </row>
    <row r="359" ht="14.25" customHeight="1">
      <c r="I359" s="6"/>
      <c r="K359" s="7"/>
    </row>
    <row r="360" ht="14.25" customHeight="1">
      <c r="I360" s="6"/>
      <c r="K360" s="7"/>
    </row>
    <row r="361" ht="14.25" customHeight="1">
      <c r="I361" s="6"/>
      <c r="K361" s="7"/>
    </row>
    <row r="362" ht="14.25" customHeight="1">
      <c r="I362" s="6"/>
      <c r="K362" s="7"/>
    </row>
    <row r="363" ht="14.25" customHeight="1">
      <c r="I363" s="6"/>
      <c r="K363" s="7"/>
    </row>
    <row r="364" ht="14.25" customHeight="1">
      <c r="I364" s="6"/>
      <c r="K364" s="7"/>
    </row>
    <row r="365" ht="14.25" customHeight="1">
      <c r="I365" s="6"/>
      <c r="K365" s="7"/>
    </row>
    <row r="366" ht="14.25" customHeight="1">
      <c r="I366" s="6"/>
      <c r="K366" s="7"/>
    </row>
    <row r="367" ht="14.25" customHeight="1">
      <c r="I367" s="6"/>
      <c r="K367" s="7"/>
    </row>
    <row r="368" ht="14.25" customHeight="1">
      <c r="I368" s="6"/>
      <c r="K368" s="7"/>
    </row>
    <row r="369" ht="14.25" customHeight="1">
      <c r="I369" s="6"/>
      <c r="K369" s="7"/>
    </row>
    <row r="370" ht="14.25" customHeight="1">
      <c r="I370" s="6"/>
      <c r="K370" s="7"/>
    </row>
    <row r="371" ht="14.25" customHeight="1">
      <c r="I371" s="6"/>
      <c r="K371" s="7"/>
    </row>
    <row r="372" ht="14.25" customHeight="1">
      <c r="I372" s="6"/>
      <c r="K372" s="7"/>
    </row>
    <row r="373" ht="14.25" customHeight="1">
      <c r="I373" s="6"/>
      <c r="K373" s="7"/>
    </row>
    <row r="374" ht="14.25" customHeight="1">
      <c r="I374" s="6"/>
      <c r="K374" s="7"/>
    </row>
    <row r="375" ht="14.25" customHeight="1">
      <c r="I375" s="6"/>
      <c r="K375" s="7"/>
    </row>
    <row r="376" ht="14.25" customHeight="1">
      <c r="I376" s="6"/>
      <c r="K376" s="7"/>
    </row>
    <row r="377" ht="14.25" customHeight="1">
      <c r="I377" s="6"/>
      <c r="K377" s="7"/>
    </row>
    <row r="378" ht="14.25" customHeight="1">
      <c r="I378" s="6"/>
      <c r="K378" s="7"/>
    </row>
    <row r="379" ht="14.25" customHeight="1">
      <c r="I379" s="6"/>
      <c r="K379" s="7"/>
    </row>
    <row r="380" ht="14.25" customHeight="1">
      <c r="I380" s="6"/>
      <c r="K380" s="7"/>
    </row>
    <row r="381" ht="14.25" customHeight="1">
      <c r="I381" s="6"/>
      <c r="K381" s="7"/>
    </row>
    <row r="382" ht="14.25" customHeight="1">
      <c r="I382" s="6"/>
      <c r="K382" s="7"/>
    </row>
    <row r="383" ht="14.25" customHeight="1">
      <c r="I383" s="6"/>
      <c r="K383" s="7"/>
    </row>
    <row r="384" ht="14.25" customHeight="1">
      <c r="I384" s="6"/>
      <c r="K384" s="7"/>
    </row>
    <row r="385" ht="14.25" customHeight="1">
      <c r="I385" s="6"/>
      <c r="K385" s="7"/>
    </row>
    <row r="386" ht="14.25" customHeight="1">
      <c r="I386" s="6"/>
      <c r="K386" s="7"/>
    </row>
    <row r="387" ht="14.25" customHeight="1">
      <c r="I387" s="6"/>
      <c r="K387" s="7"/>
    </row>
    <row r="388" ht="14.25" customHeight="1">
      <c r="I388" s="6"/>
      <c r="K388" s="7"/>
    </row>
    <row r="389" ht="14.25" customHeight="1">
      <c r="I389" s="6"/>
      <c r="K389" s="7"/>
    </row>
    <row r="390" ht="14.25" customHeight="1">
      <c r="I390" s="6"/>
      <c r="K390" s="7"/>
    </row>
    <row r="391" ht="14.25" customHeight="1">
      <c r="I391" s="6"/>
      <c r="K391" s="7"/>
    </row>
    <row r="392" ht="14.25" customHeight="1">
      <c r="I392" s="6"/>
      <c r="K392" s="7"/>
    </row>
    <row r="393" ht="14.25" customHeight="1">
      <c r="I393" s="6"/>
      <c r="K393" s="7"/>
    </row>
    <row r="394" ht="14.25" customHeight="1">
      <c r="I394" s="6"/>
      <c r="K394" s="7"/>
    </row>
    <row r="395" ht="14.25" customHeight="1">
      <c r="I395" s="6"/>
      <c r="K395" s="7"/>
    </row>
    <row r="396" ht="14.25" customHeight="1">
      <c r="I396" s="6"/>
      <c r="K396" s="7"/>
    </row>
    <row r="397" ht="14.25" customHeight="1">
      <c r="I397" s="6"/>
      <c r="K397" s="7"/>
    </row>
    <row r="398" ht="14.25" customHeight="1">
      <c r="I398" s="6"/>
      <c r="K398" s="7"/>
    </row>
    <row r="399" ht="14.25" customHeight="1">
      <c r="I399" s="6"/>
      <c r="K399" s="7"/>
    </row>
    <row r="400" ht="14.25" customHeight="1">
      <c r="I400" s="6"/>
      <c r="K400" s="7"/>
    </row>
    <row r="401" ht="14.25" customHeight="1">
      <c r="I401" s="6"/>
      <c r="K401" s="7"/>
    </row>
    <row r="402" ht="14.25" customHeight="1">
      <c r="I402" s="6"/>
      <c r="K402" s="7"/>
    </row>
    <row r="403" ht="14.25" customHeight="1">
      <c r="I403" s="6"/>
      <c r="K403" s="7"/>
    </row>
    <row r="404" ht="14.25" customHeight="1">
      <c r="I404" s="6"/>
      <c r="K404" s="7"/>
    </row>
    <row r="405" ht="14.25" customHeight="1">
      <c r="I405" s="6"/>
      <c r="K405" s="7"/>
    </row>
    <row r="406" ht="14.25" customHeight="1">
      <c r="I406" s="6"/>
      <c r="K406" s="7"/>
    </row>
    <row r="407" ht="14.25" customHeight="1">
      <c r="I407" s="6"/>
      <c r="K407" s="7"/>
    </row>
    <row r="408" ht="14.25" customHeight="1">
      <c r="I408" s="6"/>
      <c r="K408" s="7"/>
    </row>
    <row r="409" ht="14.25" customHeight="1">
      <c r="I409" s="6"/>
      <c r="K409" s="7"/>
    </row>
    <row r="410" ht="14.25" customHeight="1">
      <c r="I410" s="6"/>
      <c r="K410" s="7"/>
    </row>
    <row r="411" ht="14.25" customHeight="1">
      <c r="I411" s="6"/>
      <c r="K411" s="7"/>
    </row>
    <row r="412" ht="14.25" customHeight="1">
      <c r="I412" s="6"/>
      <c r="K412" s="7"/>
    </row>
    <row r="413" ht="14.25" customHeight="1">
      <c r="I413" s="6"/>
      <c r="K413" s="7"/>
    </row>
    <row r="414" ht="14.25" customHeight="1">
      <c r="I414" s="6"/>
      <c r="K414" s="7"/>
    </row>
    <row r="415" ht="14.25" customHeight="1">
      <c r="I415" s="6"/>
      <c r="K415" s="7"/>
    </row>
    <row r="416" ht="14.25" customHeight="1">
      <c r="I416" s="6"/>
      <c r="K416" s="7"/>
    </row>
    <row r="417" ht="14.25" customHeight="1">
      <c r="I417" s="6"/>
      <c r="K417" s="7"/>
    </row>
    <row r="418" ht="14.25" customHeight="1">
      <c r="I418" s="6"/>
      <c r="K418" s="7"/>
    </row>
    <row r="419" ht="14.25" customHeight="1">
      <c r="I419" s="6"/>
      <c r="K419" s="7"/>
    </row>
    <row r="420" ht="14.25" customHeight="1">
      <c r="I420" s="6"/>
      <c r="K420" s="7"/>
    </row>
    <row r="421" ht="14.25" customHeight="1">
      <c r="I421" s="6"/>
      <c r="K421" s="7"/>
    </row>
    <row r="422" ht="14.25" customHeight="1">
      <c r="I422" s="6"/>
      <c r="K422" s="7"/>
    </row>
    <row r="423" ht="14.25" customHeight="1">
      <c r="I423" s="6"/>
      <c r="K423" s="7"/>
    </row>
    <row r="424" ht="14.25" customHeight="1">
      <c r="I424" s="6"/>
      <c r="K424" s="7"/>
    </row>
    <row r="425" ht="14.25" customHeight="1">
      <c r="I425" s="6"/>
      <c r="K425" s="7"/>
    </row>
    <row r="426" ht="14.25" customHeight="1">
      <c r="I426" s="6"/>
      <c r="K426" s="7"/>
    </row>
    <row r="427" ht="14.25" customHeight="1">
      <c r="I427" s="6"/>
      <c r="K427" s="7"/>
    </row>
    <row r="428" ht="14.25" customHeight="1">
      <c r="I428" s="6"/>
      <c r="K428" s="7"/>
    </row>
    <row r="429" ht="14.25" customHeight="1">
      <c r="I429" s="6"/>
      <c r="K429" s="7"/>
    </row>
    <row r="430" ht="14.25" customHeight="1">
      <c r="I430" s="6"/>
      <c r="K430" s="7"/>
    </row>
    <row r="431" ht="14.25" customHeight="1">
      <c r="I431" s="6"/>
      <c r="K431" s="7"/>
    </row>
    <row r="432" ht="14.25" customHeight="1">
      <c r="I432" s="6"/>
      <c r="K432" s="7"/>
    </row>
    <row r="433" ht="14.25" customHeight="1">
      <c r="I433" s="6"/>
      <c r="K433" s="7"/>
    </row>
    <row r="434" ht="14.25" customHeight="1">
      <c r="I434" s="6"/>
      <c r="K434" s="7"/>
    </row>
    <row r="435" ht="14.25" customHeight="1">
      <c r="I435" s="6"/>
      <c r="K435" s="7"/>
    </row>
    <row r="436" ht="14.25" customHeight="1">
      <c r="I436" s="6"/>
      <c r="K436" s="7"/>
    </row>
    <row r="437" ht="14.25" customHeight="1">
      <c r="I437" s="6"/>
      <c r="K437" s="7"/>
    </row>
    <row r="438" ht="14.25" customHeight="1">
      <c r="I438" s="6"/>
      <c r="K438" s="7"/>
    </row>
    <row r="439" ht="14.25" customHeight="1">
      <c r="I439" s="6"/>
      <c r="K439" s="7"/>
    </row>
    <row r="440" ht="14.25" customHeight="1">
      <c r="I440" s="6"/>
      <c r="K440" s="7"/>
    </row>
    <row r="441" ht="14.25" customHeight="1">
      <c r="I441" s="6"/>
      <c r="K441" s="7"/>
    </row>
    <row r="442" ht="14.25" customHeight="1">
      <c r="I442" s="6"/>
      <c r="K442" s="7"/>
    </row>
    <row r="443" ht="14.25" customHeight="1">
      <c r="I443" s="6"/>
      <c r="K443" s="7"/>
    </row>
    <row r="444" ht="14.25" customHeight="1">
      <c r="I444" s="6"/>
      <c r="K444" s="7"/>
    </row>
    <row r="445" ht="14.25" customHeight="1">
      <c r="I445" s="6"/>
      <c r="K445" s="7"/>
    </row>
    <row r="446" ht="14.25" customHeight="1">
      <c r="I446" s="6"/>
      <c r="K446" s="7"/>
    </row>
    <row r="447" ht="14.25" customHeight="1">
      <c r="I447" s="6"/>
      <c r="K447" s="7"/>
    </row>
    <row r="448" ht="14.25" customHeight="1">
      <c r="I448" s="6"/>
      <c r="K448" s="7"/>
    </row>
    <row r="449" ht="14.25" customHeight="1">
      <c r="I449" s="6"/>
      <c r="K449" s="7"/>
    </row>
    <row r="450" ht="14.25" customHeight="1">
      <c r="I450" s="6"/>
      <c r="K450" s="7"/>
    </row>
    <row r="451" ht="14.25" customHeight="1">
      <c r="I451" s="6"/>
      <c r="K451" s="7"/>
    </row>
    <row r="452" ht="14.25" customHeight="1">
      <c r="I452" s="6"/>
      <c r="K452" s="7"/>
    </row>
    <row r="453" ht="14.25" customHeight="1">
      <c r="I453" s="6"/>
      <c r="K453" s="7"/>
    </row>
    <row r="454" ht="14.25" customHeight="1">
      <c r="I454" s="6"/>
      <c r="K454" s="7"/>
    </row>
    <row r="455" ht="14.25" customHeight="1">
      <c r="I455" s="6"/>
      <c r="K455" s="7"/>
    </row>
    <row r="456" ht="14.25" customHeight="1">
      <c r="I456" s="6"/>
      <c r="K456" s="7"/>
    </row>
    <row r="457" ht="14.25" customHeight="1">
      <c r="I457" s="6"/>
      <c r="K457" s="7"/>
    </row>
    <row r="458" ht="14.25" customHeight="1">
      <c r="I458" s="6"/>
      <c r="K458" s="7"/>
    </row>
    <row r="459" ht="14.25" customHeight="1">
      <c r="I459" s="6"/>
      <c r="K459" s="7"/>
    </row>
    <row r="460" ht="14.25" customHeight="1">
      <c r="I460" s="6"/>
      <c r="K460" s="7"/>
    </row>
    <row r="461" ht="14.25" customHeight="1">
      <c r="I461" s="6"/>
      <c r="K461" s="7"/>
    </row>
    <row r="462" ht="14.25" customHeight="1">
      <c r="I462" s="6"/>
      <c r="K462" s="7"/>
    </row>
    <row r="463" ht="14.25" customHeight="1">
      <c r="I463" s="6"/>
      <c r="K463" s="7"/>
    </row>
    <row r="464" ht="14.25" customHeight="1">
      <c r="I464" s="6"/>
      <c r="K464" s="7"/>
    </row>
    <row r="465" ht="14.25" customHeight="1">
      <c r="I465" s="6"/>
      <c r="K465" s="7"/>
    </row>
    <row r="466" ht="14.25" customHeight="1">
      <c r="I466" s="6"/>
      <c r="K466" s="7"/>
    </row>
    <row r="467" ht="14.25" customHeight="1">
      <c r="I467" s="6"/>
      <c r="K467" s="7"/>
    </row>
    <row r="468" ht="14.25" customHeight="1">
      <c r="I468" s="6"/>
      <c r="K468" s="7"/>
    </row>
    <row r="469" ht="14.25" customHeight="1">
      <c r="I469" s="6"/>
      <c r="K469" s="7"/>
    </row>
    <row r="470" ht="14.25" customHeight="1">
      <c r="I470" s="6"/>
      <c r="K470" s="7"/>
    </row>
    <row r="471" ht="14.25" customHeight="1">
      <c r="I471" s="6"/>
      <c r="K471" s="7"/>
    </row>
    <row r="472" ht="14.25" customHeight="1">
      <c r="I472" s="6"/>
      <c r="K472" s="7"/>
    </row>
    <row r="473" ht="14.25" customHeight="1">
      <c r="I473" s="6"/>
      <c r="K473" s="7"/>
    </row>
    <row r="474" ht="14.25" customHeight="1">
      <c r="I474" s="6"/>
      <c r="K474" s="7"/>
    </row>
    <row r="475" ht="14.25" customHeight="1">
      <c r="I475" s="6"/>
      <c r="K475" s="7"/>
    </row>
    <row r="476" ht="14.25" customHeight="1">
      <c r="I476" s="6"/>
      <c r="K476" s="7"/>
    </row>
    <row r="477" ht="14.25" customHeight="1">
      <c r="I477" s="6"/>
      <c r="K477" s="7"/>
    </row>
    <row r="478" ht="14.25" customHeight="1">
      <c r="I478" s="6"/>
      <c r="K478" s="7"/>
    </row>
    <row r="479" ht="14.25" customHeight="1">
      <c r="I479" s="6"/>
      <c r="K479" s="7"/>
    </row>
    <row r="480" ht="14.25" customHeight="1">
      <c r="I480" s="6"/>
      <c r="K480" s="7"/>
    </row>
    <row r="481" ht="14.25" customHeight="1">
      <c r="I481" s="6"/>
      <c r="K481" s="7"/>
    </row>
    <row r="482" ht="14.25" customHeight="1">
      <c r="I482" s="6"/>
      <c r="K482" s="7"/>
    </row>
    <row r="483" ht="14.25" customHeight="1">
      <c r="I483" s="6"/>
      <c r="K483" s="7"/>
    </row>
    <row r="484" ht="14.25" customHeight="1">
      <c r="I484" s="6"/>
      <c r="K484" s="7"/>
    </row>
    <row r="485" ht="14.25" customHeight="1">
      <c r="I485" s="6"/>
      <c r="K485" s="7"/>
    </row>
    <row r="486" ht="14.25" customHeight="1">
      <c r="I486" s="6"/>
      <c r="K486" s="7"/>
    </row>
    <row r="487" ht="14.25" customHeight="1">
      <c r="I487" s="6"/>
      <c r="K487" s="7"/>
    </row>
    <row r="488" ht="14.25" customHeight="1">
      <c r="I488" s="6"/>
      <c r="K488" s="7"/>
    </row>
    <row r="489" ht="14.25" customHeight="1">
      <c r="I489" s="6"/>
      <c r="K489" s="7"/>
    </row>
    <row r="490" ht="14.25" customHeight="1">
      <c r="I490" s="6"/>
      <c r="K490" s="7"/>
    </row>
    <row r="491" ht="14.25" customHeight="1">
      <c r="I491" s="6"/>
      <c r="K491" s="7"/>
    </row>
    <row r="492" ht="14.25" customHeight="1">
      <c r="I492" s="6"/>
      <c r="K492" s="7"/>
    </row>
    <row r="493" ht="14.25" customHeight="1">
      <c r="I493" s="6"/>
      <c r="K493" s="7"/>
    </row>
    <row r="494" ht="14.25" customHeight="1">
      <c r="I494" s="6"/>
      <c r="K494" s="7"/>
    </row>
    <row r="495" ht="14.25" customHeight="1">
      <c r="I495" s="6"/>
      <c r="K495" s="7"/>
    </row>
    <row r="496" ht="14.25" customHeight="1">
      <c r="I496" s="6"/>
      <c r="K496" s="7"/>
    </row>
    <row r="497" ht="14.25" customHeight="1">
      <c r="I497" s="6"/>
      <c r="K497" s="7"/>
    </row>
    <row r="498" ht="14.25" customHeight="1">
      <c r="I498" s="6"/>
      <c r="K498" s="7"/>
    </row>
    <row r="499" ht="14.25" customHeight="1">
      <c r="I499" s="6"/>
      <c r="K499" s="7"/>
    </row>
    <row r="500" ht="14.25" customHeight="1">
      <c r="I500" s="6"/>
      <c r="K500" s="7"/>
    </row>
    <row r="501" ht="14.25" customHeight="1">
      <c r="I501" s="6"/>
      <c r="K501" s="7"/>
    </row>
    <row r="502" ht="14.25" customHeight="1">
      <c r="I502" s="6"/>
      <c r="K502" s="7"/>
    </row>
    <row r="503" ht="14.25" customHeight="1">
      <c r="I503" s="6"/>
      <c r="K503" s="7"/>
    </row>
    <row r="504" ht="14.25" customHeight="1">
      <c r="I504" s="6"/>
      <c r="K504" s="7"/>
    </row>
    <row r="505" ht="14.25" customHeight="1">
      <c r="I505" s="6"/>
      <c r="K505" s="7"/>
    </row>
    <row r="506" ht="14.25" customHeight="1">
      <c r="I506" s="6"/>
      <c r="K506" s="7"/>
    </row>
    <row r="507" ht="14.25" customHeight="1">
      <c r="I507" s="6"/>
      <c r="K507" s="7"/>
    </row>
    <row r="508" ht="14.25" customHeight="1">
      <c r="I508" s="6"/>
      <c r="K508" s="7"/>
    </row>
    <row r="509" ht="14.25" customHeight="1">
      <c r="I509" s="6"/>
      <c r="K509" s="7"/>
    </row>
    <row r="510" ht="14.25" customHeight="1">
      <c r="I510" s="6"/>
      <c r="K510" s="7"/>
    </row>
    <row r="511" ht="14.25" customHeight="1">
      <c r="I511" s="6"/>
      <c r="K511" s="7"/>
    </row>
    <row r="512" ht="14.25" customHeight="1">
      <c r="I512" s="6"/>
      <c r="K512" s="7"/>
    </row>
    <row r="513" ht="14.25" customHeight="1">
      <c r="I513" s="6"/>
      <c r="K513" s="7"/>
    </row>
    <row r="514" ht="14.25" customHeight="1">
      <c r="I514" s="6"/>
      <c r="K514" s="7"/>
    </row>
    <row r="515" ht="14.25" customHeight="1">
      <c r="I515" s="6"/>
      <c r="K515" s="7"/>
    </row>
    <row r="516" ht="14.25" customHeight="1">
      <c r="I516" s="6"/>
      <c r="K516" s="7"/>
    </row>
    <row r="517" ht="14.25" customHeight="1">
      <c r="I517" s="6"/>
      <c r="K517" s="7"/>
    </row>
    <row r="518" ht="14.25" customHeight="1">
      <c r="I518" s="6"/>
      <c r="K518" s="7"/>
    </row>
    <row r="519" ht="14.25" customHeight="1">
      <c r="I519" s="6"/>
      <c r="K519" s="7"/>
    </row>
    <row r="520" ht="14.25" customHeight="1">
      <c r="I520" s="6"/>
      <c r="K520" s="7"/>
    </row>
    <row r="521" ht="14.25" customHeight="1">
      <c r="I521" s="6"/>
      <c r="K521" s="7"/>
    </row>
    <row r="522" ht="14.25" customHeight="1">
      <c r="I522" s="6"/>
      <c r="K522" s="7"/>
    </row>
    <row r="523" ht="14.25" customHeight="1">
      <c r="I523" s="6"/>
      <c r="K523" s="7"/>
    </row>
    <row r="524" ht="14.25" customHeight="1">
      <c r="I524" s="6"/>
      <c r="K524" s="7"/>
    </row>
    <row r="525" ht="14.25" customHeight="1">
      <c r="I525" s="6"/>
      <c r="K525" s="7"/>
    </row>
    <row r="526" ht="14.25" customHeight="1">
      <c r="I526" s="6"/>
      <c r="K526" s="7"/>
    </row>
    <row r="527" ht="14.25" customHeight="1">
      <c r="I527" s="6"/>
      <c r="K527" s="7"/>
    </row>
    <row r="528" ht="14.25" customHeight="1">
      <c r="I528" s="6"/>
      <c r="K528" s="7"/>
    </row>
    <row r="529" ht="14.25" customHeight="1">
      <c r="I529" s="6"/>
      <c r="K529" s="7"/>
    </row>
    <row r="530" ht="14.25" customHeight="1">
      <c r="I530" s="6"/>
      <c r="K530" s="7"/>
    </row>
    <row r="531" ht="14.25" customHeight="1">
      <c r="I531" s="6"/>
      <c r="K531" s="7"/>
    </row>
    <row r="532" ht="14.25" customHeight="1">
      <c r="I532" s="6"/>
      <c r="K532" s="7"/>
    </row>
    <row r="533" ht="14.25" customHeight="1">
      <c r="I533" s="6"/>
      <c r="K533" s="7"/>
    </row>
    <row r="534" ht="14.25" customHeight="1">
      <c r="I534" s="6"/>
      <c r="K534" s="7"/>
    </row>
    <row r="535" ht="14.25" customHeight="1">
      <c r="I535" s="6"/>
      <c r="K535" s="7"/>
    </row>
    <row r="536" ht="14.25" customHeight="1">
      <c r="I536" s="6"/>
      <c r="K536" s="7"/>
    </row>
    <row r="537" ht="14.25" customHeight="1">
      <c r="I537" s="6"/>
      <c r="K537" s="7"/>
    </row>
    <row r="538" ht="14.25" customHeight="1">
      <c r="I538" s="6"/>
      <c r="K538" s="7"/>
    </row>
    <row r="539" ht="14.25" customHeight="1">
      <c r="I539" s="6"/>
      <c r="K539" s="7"/>
    </row>
    <row r="540" ht="14.25" customHeight="1">
      <c r="I540" s="6"/>
      <c r="K540" s="7"/>
    </row>
    <row r="541" ht="14.25" customHeight="1">
      <c r="I541" s="6"/>
      <c r="K541" s="7"/>
    </row>
    <row r="542" ht="14.25" customHeight="1">
      <c r="I542" s="6"/>
      <c r="K542" s="7"/>
    </row>
    <row r="543" ht="14.25" customHeight="1">
      <c r="I543" s="6"/>
      <c r="K543" s="7"/>
    </row>
    <row r="544" ht="14.25" customHeight="1">
      <c r="I544" s="6"/>
      <c r="K544" s="7"/>
    </row>
    <row r="545" ht="14.25" customHeight="1">
      <c r="I545" s="6"/>
      <c r="K545" s="7"/>
    </row>
    <row r="546" ht="14.25" customHeight="1">
      <c r="I546" s="6"/>
      <c r="K546" s="7"/>
    </row>
    <row r="547" ht="14.25" customHeight="1">
      <c r="I547" s="6"/>
      <c r="K547" s="7"/>
    </row>
    <row r="548" ht="14.25" customHeight="1">
      <c r="I548" s="6"/>
      <c r="K548" s="7"/>
    </row>
    <row r="549" ht="14.25" customHeight="1">
      <c r="I549" s="6"/>
      <c r="K549" s="7"/>
    </row>
    <row r="550" ht="14.25" customHeight="1">
      <c r="I550" s="6"/>
      <c r="K550" s="7"/>
    </row>
    <row r="551" ht="14.25" customHeight="1">
      <c r="I551" s="6"/>
      <c r="K551" s="7"/>
    </row>
    <row r="552" ht="14.25" customHeight="1">
      <c r="I552" s="6"/>
      <c r="K552" s="7"/>
    </row>
    <row r="553" ht="14.25" customHeight="1">
      <c r="I553" s="6"/>
      <c r="K553" s="7"/>
    </row>
    <row r="554" ht="14.25" customHeight="1">
      <c r="I554" s="6"/>
      <c r="K554" s="7"/>
    </row>
    <row r="555" ht="14.25" customHeight="1">
      <c r="I555" s="6"/>
      <c r="K555" s="7"/>
    </row>
    <row r="556" ht="14.25" customHeight="1">
      <c r="I556" s="6"/>
      <c r="K556" s="7"/>
    </row>
    <row r="557" ht="14.25" customHeight="1">
      <c r="I557" s="6"/>
      <c r="K557" s="7"/>
    </row>
    <row r="558" ht="14.25" customHeight="1">
      <c r="I558" s="6"/>
      <c r="K558" s="7"/>
    </row>
    <row r="559" ht="14.25" customHeight="1">
      <c r="I559" s="6"/>
      <c r="K559" s="7"/>
    </row>
    <row r="560" ht="14.25" customHeight="1">
      <c r="I560" s="6"/>
      <c r="K560" s="7"/>
    </row>
    <row r="561" ht="14.25" customHeight="1">
      <c r="I561" s="6"/>
      <c r="K561" s="7"/>
    </row>
    <row r="562" ht="14.25" customHeight="1">
      <c r="I562" s="6"/>
      <c r="K562" s="7"/>
    </row>
    <row r="563" ht="14.25" customHeight="1">
      <c r="I563" s="6"/>
      <c r="K563" s="7"/>
    </row>
    <row r="564" ht="14.25" customHeight="1">
      <c r="I564" s="6"/>
      <c r="K564" s="7"/>
    </row>
    <row r="565" ht="14.25" customHeight="1">
      <c r="I565" s="6"/>
      <c r="K565" s="7"/>
    </row>
    <row r="566" ht="14.25" customHeight="1">
      <c r="I566" s="6"/>
      <c r="K566" s="7"/>
    </row>
    <row r="567" ht="14.25" customHeight="1">
      <c r="I567" s="6"/>
      <c r="K567" s="7"/>
    </row>
    <row r="568" ht="14.25" customHeight="1">
      <c r="I568" s="6"/>
      <c r="K568" s="7"/>
    </row>
    <row r="569" ht="14.25" customHeight="1">
      <c r="I569" s="6"/>
      <c r="K569" s="7"/>
    </row>
    <row r="570" ht="14.25" customHeight="1">
      <c r="I570" s="6"/>
      <c r="K570" s="7"/>
    </row>
    <row r="571" ht="14.25" customHeight="1">
      <c r="I571" s="6"/>
      <c r="K571" s="7"/>
    </row>
    <row r="572" ht="14.25" customHeight="1">
      <c r="I572" s="6"/>
      <c r="K572" s="7"/>
    </row>
    <row r="573" ht="14.25" customHeight="1">
      <c r="I573" s="6"/>
      <c r="K573" s="7"/>
    </row>
    <row r="574" ht="14.25" customHeight="1">
      <c r="I574" s="6"/>
      <c r="K574" s="7"/>
    </row>
    <row r="575" ht="14.25" customHeight="1">
      <c r="I575" s="6"/>
      <c r="K575" s="7"/>
    </row>
    <row r="576" ht="14.25" customHeight="1">
      <c r="I576" s="6"/>
      <c r="K576" s="7"/>
    </row>
    <row r="577" ht="14.25" customHeight="1">
      <c r="I577" s="6"/>
      <c r="K577" s="7"/>
    </row>
    <row r="578" ht="14.25" customHeight="1">
      <c r="I578" s="6"/>
      <c r="K578" s="7"/>
    </row>
    <row r="579" ht="14.25" customHeight="1">
      <c r="I579" s="6"/>
      <c r="K579" s="7"/>
    </row>
    <row r="580" ht="14.25" customHeight="1">
      <c r="I580" s="6"/>
      <c r="K580" s="7"/>
    </row>
    <row r="581" ht="14.25" customHeight="1">
      <c r="I581" s="6"/>
      <c r="K581" s="7"/>
    </row>
    <row r="582" ht="14.25" customHeight="1">
      <c r="I582" s="6"/>
      <c r="K582" s="7"/>
    </row>
    <row r="583" ht="14.25" customHeight="1">
      <c r="I583" s="6"/>
      <c r="K583" s="7"/>
    </row>
    <row r="584" ht="14.25" customHeight="1">
      <c r="I584" s="6"/>
      <c r="K584" s="7"/>
    </row>
    <row r="585" ht="14.25" customHeight="1">
      <c r="I585" s="6"/>
      <c r="K585" s="7"/>
    </row>
    <row r="586" ht="14.25" customHeight="1">
      <c r="I586" s="6"/>
      <c r="K586" s="7"/>
    </row>
    <row r="587" ht="14.25" customHeight="1">
      <c r="I587" s="6"/>
      <c r="K587" s="7"/>
    </row>
    <row r="588" ht="14.25" customHeight="1">
      <c r="I588" s="6"/>
      <c r="K588" s="7"/>
    </row>
    <row r="589" ht="14.25" customHeight="1">
      <c r="I589" s="6"/>
      <c r="K589" s="7"/>
    </row>
    <row r="590" ht="14.25" customHeight="1">
      <c r="I590" s="6"/>
      <c r="K590" s="7"/>
    </row>
    <row r="591" ht="14.25" customHeight="1">
      <c r="I591" s="6"/>
      <c r="K591" s="7"/>
    </row>
    <row r="592" ht="14.25" customHeight="1">
      <c r="I592" s="6"/>
      <c r="K592" s="7"/>
    </row>
    <row r="593" ht="14.25" customHeight="1">
      <c r="I593" s="6"/>
      <c r="K593" s="7"/>
    </row>
    <row r="594" ht="14.25" customHeight="1">
      <c r="I594" s="6"/>
      <c r="K594" s="7"/>
    </row>
    <row r="595" ht="14.25" customHeight="1">
      <c r="I595" s="6"/>
      <c r="K595" s="7"/>
    </row>
    <row r="596" ht="14.25" customHeight="1">
      <c r="I596" s="6"/>
      <c r="K596" s="7"/>
    </row>
    <row r="597" ht="14.25" customHeight="1">
      <c r="I597" s="6"/>
      <c r="K597" s="7"/>
    </row>
    <row r="598" ht="14.25" customHeight="1">
      <c r="I598" s="6"/>
      <c r="K598" s="7"/>
    </row>
    <row r="599" ht="14.25" customHeight="1">
      <c r="I599" s="6"/>
      <c r="K599" s="7"/>
    </row>
    <row r="600" ht="14.25" customHeight="1">
      <c r="I600" s="6"/>
      <c r="K600" s="7"/>
    </row>
    <row r="601" ht="14.25" customHeight="1">
      <c r="I601" s="6"/>
      <c r="K601" s="7"/>
    </row>
    <row r="602" ht="14.25" customHeight="1">
      <c r="I602" s="6"/>
      <c r="K602" s="7"/>
    </row>
    <row r="603" ht="14.25" customHeight="1">
      <c r="I603" s="6"/>
      <c r="K603" s="7"/>
    </row>
    <row r="604" ht="14.25" customHeight="1">
      <c r="I604" s="6"/>
      <c r="K604" s="7"/>
    </row>
    <row r="605" ht="14.25" customHeight="1">
      <c r="I605" s="6"/>
      <c r="K605" s="7"/>
    </row>
    <row r="606" ht="14.25" customHeight="1">
      <c r="I606" s="6"/>
      <c r="K606" s="7"/>
    </row>
    <row r="607" ht="14.25" customHeight="1">
      <c r="I607" s="6"/>
      <c r="K607" s="7"/>
    </row>
    <row r="608" ht="14.25" customHeight="1">
      <c r="I608" s="6"/>
      <c r="K608" s="7"/>
    </row>
    <row r="609" ht="14.25" customHeight="1">
      <c r="I609" s="6"/>
      <c r="K609" s="7"/>
    </row>
    <row r="610" ht="14.25" customHeight="1">
      <c r="I610" s="6"/>
      <c r="K610" s="7"/>
    </row>
    <row r="611" ht="14.25" customHeight="1">
      <c r="I611" s="6"/>
      <c r="K611" s="7"/>
    </row>
    <row r="612" ht="14.25" customHeight="1">
      <c r="I612" s="6"/>
      <c r="K612" s="7"/>
    </row>
    <row r="613" ht="14.25" customHeight="1">
      <c r="I613" s="6"/>
      <c r="K613" s="7"/>
    </row>
    <row r="614" ht="14.25" customHeight="1">
      <c r="I614" s="6"/>
      <c r="K614" s="7"/>
    </row>
    <row r="615" ht="14.25" customHeight="1">
      <c r="I615" s="6"/>
      <c r="K615" s="7"/>
    </row>
    <row r="616" ht="14.25" customHeight="1">
      <c r="I616" s="6"/>
      <c r="K616" s="7"/>
    </row>
    <row r="617" ht="14.25" customHeight="1">
      <c r="I617" s="6"/>
      <c r="K617" s="7"/>
    </row>
    <row r="618" ht="14.25" customHeight="1">
      <c r="I618" s="6"/>
      <c r="K618" s="7"/>
    </row>
    <row r="619" ht="14.25" customHeight="1">
      <c r="I619" s="6"/>
      <c r="K619" s="7"/>
    </row>
    <row r="620" ht="14.25" customHeight="1">
      <c r="I620" s="6"/>
      <c r="K620" s="7"/>
    </row>
    <row r="621" ht="14.25" customHeight="1">
      <c r="I621" s="6"/>
      <c r="K621" s="7"/>
    </row>
    <row r="622" ht="14.25" customHeight="1">
      <c r="I622" s="6"/>
      <c r="K622" s="7"/>
    </row>
    <row r="623" ht="14.25" customHeight="1">
      <c r="I623" s="6"/>
      <c r="K623" s="7"/>
    </row>
    <row r="624" ht="14.25" customHeight="1">
      <c r="I624" s="6"/>
      <c r="K624" s="7"/>
    </row>
    <row r="625" ht="14.25" customHeight="1">
      <c r="I625" s="6"/>
      <c r="K625" s="7"/>
    </row>
    <row r="626" ht="14.25" customHeight="1">
      <c r="I626" s="6"/>
      <c r="K626" s="7"/>
    </row>
    <row r="627" ht="14.25" customHeight="1">
      <c r="I627" s="6"/>
      <c r="K627" s="7"/>
    </row>
    <row r="628" ht="14.25" customHeight="1">
      <c r="I628" s="6"/>
      <c r="K628" s="7"/>
    </row>
    <row r="629" ht="14.25" customHeight="1">
      <c r="I629" s="6"/>
      <c r="K629" s="7"/>
    </row>
    <row r="630" ht="14.25" customHeight="1">
      <c r="I630" s="6"/>
      <c r="K630" s="7"/>
    </row>
    <row r="631" ht="14.25" customHeight="1">
      <c r="I631" s="6"/>
      <c r="K631" s="7"/>
    </row>
    <row r="632" ht="14.25" customHeight="1">
      <c r="I632" s="6"/>
      <c r="K632" s="7"/>
    </row>
    <row r="633" ht="14.25" customHeight="1">
      <c r="I633" s="6"/>
      <c r="K633" s="7"/>
    </row>
    <row r="634" ht="14.25" customHeight="1">
      <c r="I634" s="6"/>
      <c r="K634" s="7"/>
    </row>
    <row r="635" ht="14.25" customHeight="1">
      <c r="I635" s="6"/>
      <c r="K635" s="7"/>
    </row>
    <row r="636" ht="14.25" customHeight="1">
      <c r="I636" s="6"/>
      <c r="K636" s="7"/>
    </row>
    <row r="637" ht="14.25" customHeight="1">
      <c r="I637" s="6"/>
      <c r="K637" s="7"/>
    </row>
    <row r="638" ht="14.25" customHeight="1">
      <c r="I638" s="6"/>
      <c r="K638" s="7"/>
    </row>
    <row r="639" ht="14.25" customHeight="1">
      <c r="I639" s="6"/>
      <c r="K639" s="7"/>
    </row>
    <row r="640" ht="14.25" customHeight="1">
      <c r="I640" s="6"/>
      <c r="K640" s="7"/>
    </row>
    <row r="641" ht="14.25" customHeight="1">
      <c r="I641" s="6"/>
      <c r="K641" s="7"/>
    </row>
    <row r="642" ht="14.25" customHeight="1">
      <c r="I642" s="6"/>
      <c r="K642" s="7"/>
    </row>
    <row r="643" ht="14.25" customHeight="1">
      <c r="I643" s="6"/>
      <c r="K643" s="7"/>
    </row>
    <row r="644" ht="14.25" customHeight="1">
      <c r="I644" s="6"/>
      <c r="K644" s="7"/>
    </row>
    <row r="645" ht="14.25" customHeight="1">
      <c r="I645" s="6"/>
      <c r="K645" s="7"/>
    </row>
    <row r="646" ht="14.25" customHeight="1">
      <c r="I646" s="6"/>
      <c r="K646" s="7"/>
    </row>
    <row r="647" ht="14.25" customHeight="1">
      <c r="I647" s="6"/>
      <c r="K647" s="7"/>
    </row>
    <row r="648" ht="14.25" customHeight="1">
      <c r="I648" s="6"/>
      <c r="K648" s="7"/>
    </row>
    <row r="649" ht="14.25" customHeight="1">
      <c r="I649" s="6"/>
      <c r="K649" s="7"/>
    </row>
    <row r="650" ht="14.25" customHeight="1">
      <c r="I650" s="6"/>
      <c r="K650" s="7"/>
    </row>
    <row r="651" ht="14.25" customHeight="1">
      <c r="I651" s="6"/>
      <c r="K651" s="7"/>
    </row>
    <row r="652" ht="14.25" customHeight="1">
      <c r="I652" s="6"/>
      <c r="K652" s="7"/>
    </row>
    <row r="653" ht="14.25" customHeight="1">
      <c r="I653" s="6"/>
      <c r="K653" s="7"/>
    </row>
    <row r="654" ht="14.25" customHeight="1">
      <c r="I654" s="6"/>
      <c r="K654" s="7"/>
    </row>
    <row r="655" ht="14.25" customHeight="1">
      <c r="I655" s="6"/>
      <c r="K655" s="7"/>
    </row>
    <row r="656" ht="14.25" customHeight="1">
      <c r="I656" s="6"/>
      <c r="K656" s="7"/>
    </row>
    <row r="657" ht="14.25" customHeight="1">
      <c r="I657" s="6"/>
      <c r="K657" s="7"/>
    </row>
    <row r="658" ht="14.25" customHeight="1">
      <c r="I658" s="6"/>
      <c r="K658" s="7"/>
    </row>
    <row r="659" ht="14.25" customHeight="1">
      <c r="I659" s="6"/>
      <c r="K659" s="7"/>
    </row>
    <row r="660" ht="14.25" customHeight="1">
      <c r="I660" s="6"/>
      <c r="K660" s="7"/>
    </row>
    <row r="661" ht="14.25" customHeight="1">
      <c r="I661" s="6"/>
      <c r="K661" s="7"/>
    </row>
    <row r="662" ht="14.25" customHeight="1">
      <c r="I662" s="6"/>
      <c r="K662" s="7"/>
    </row>
    <row r="663" ht="14.25" customHeight="1">
      <c r="I663" s="6"/>
      <c r="K663" s="7"/>
    </row>
    <row r="664" ht="14.25" customHeight="1">
      <c r="I664" s="6"/>
      <c r="K664" s="7"/>
    </row>
    <row r="665" ht="14.25" customHeight="1">
      <c r="I665" s="6"/>
      <c r="K665" s="7"/>
    </row>
    <row r="666" ht="14.25" customHeight="1">
      <c r="I666" s="6"/>
      <c r="K666" s="7"/>
    </row>
    <row r="667" ht="14.25" customHeight="1">
      <c r="I667" s="6"/>
      <c r="K667" s="7"/>
    </row>
    <row r="668" ht="14.25" customHeight="1">
      <c r="I668" s="6"/>
      <c r="K668" s="7"/>
    </row>
    <row r="669" ht="14.25" customHeight="1">
      <c r="I669" s="6"/>
      <c r="K669" s="7"/>
    </row>
    <row r="670" ht="14.25" customHeight="1">
      <c r="I670" s="6"/>
      <c r="K670" s="7"/>
    </row>
    <row r="671" ht="14.25" customHeight="1">
      <c r="I671" s="6"/>
      <c r="K671" s="7"/>
    </row>
    <row r="672" ht="14.25" customHeight="1">
      <c r="I672" s="6"/>
      <c r="K672" s="7"/>
    </row>
    <row r="673" ht="14.25" customHeight="1">
      <c r="I673" s="6"/>
      <c r="K673" s="7"/>
    </row>
    <row r="674" ht="14.25" customHeight="1">
      <c r="I674" s="6"/>
      <c r="K674" s="7"/>
    </row>
    <row r="675" ht="14.25" customHeight="1">
      <c r="I675" s="6"/>
      <c r="K675" s="7"/>
    </row>
    <row r="676" ht="14.25" customHeight="1">
      <c r="I676" s="6"/>
      <c r="K676" s="7"/>
    </row>
    <row r="677" ht="14.25" customHeight="1">
      <c r="I677" s="6"/>
      <c r="K677" s="7"/>
    </row>
    <row r="678" ht="14.25" customHeight="1">
      <c r="I678" s="6"/>
      <c r="K678" s="7"/>
    </row>
    <row r="679" ht="14.25" customHeight="1">
      <c r="I679" s="6"/>
      <c r="K679" s="7"/>
    </row>
    <row r="680" ht="14.25" customHeight="1">
      <c r="I680" s="6"/>
      <c r="K680" s="7"/>
    </row>
    <row r="681" ht="14.25" customHeight="1">
      <c r="I681" s="6"/>
      <c r="K681" s="7"/>
    </row>
    <row r="682" ht="14.25" customHeight="1">
      <c r="I682" s="6"/>
      <c r="K682" s="7"/>
    </row>
    <row r="683" ht="14.25" customHeight="1">
      <c r="I683" s="6"/>
      <c r="K683" s="7"/>
    </row>
    <row r="684" ht="14.25" customHeight="1">
      <c r="I684" s="6"/>
      <c r="K684" s="7"/>
    </row>
    <row r="685" ht="14.25" customHeight="1">
      <c r="I685" s="6"/>
      <c r="K685" s="7"/>
    </row>
    <row r="686" ht="14.25" customHeight="1">
      <c r="I686" s="6"/>
      <c r="K686" s="7"/>
    </row>
    <row r="687" ht="14.25" customHeight="1">
      <c r="I687" s="6"/>
      <c r="K687" s="7"/>
    </row>
    <row r="688" ht="14.25" customHeight="1">
      <c r="I688" s="6"/>
      <c r="K688" s="7"/>
    </row>
    <row r="689" ht="14.25" customHeight="1">
      <c r="I689" s="6"/>
      <c r="K689" s="7"/>
    </row>
    <row r="690" ht="14.25" customHeight="1">
      <c r="I690" s="6"/>
      <c r="K690" s="7"/>
    </row>
    <row r="691" ht="14.25" customHeight="1">
      <c r="I691" s="6"/>
      <c r="K691" s="7"/>
    </row>
    <row r="692" ht="14.25" customHeight="1">
      <c r="I692" s="6"/>
      <c r="K692" s="7"/>
    </row>
    <row r="693" ht="14.25" customHeight="1">
      <c r="I693" s="6"/>
      <c r="K693" s="7"/>
    </row>
    <row r="694" ht="14.25" customHeight="1">
      <c r="I694" s="6"/>
      <c r="K694" s="7"/>
    </row>
    <row r="695" ht="14.25" customHeight="1">
      <c r="I695" s="6"/>
      <c r="K695" s="7"/>
    </row>
    <row r="696" ht="14.25" customHeight="1">
      <c r="I696" s="6"/>
      <c r="K696" s="7"/>
    </row>
    <row r="697" ht="14.25" customHeight="1">
      <c r="I697" s="6"/>
      <c r="K697" s="7"/>
    </row>
    <row r="698" ht="14.25" customHeight="1">
      <c r="I698" s="6"/>
      <c r="K698" s="7"/>
    </row>
    <row r="699" ht="14.25" customHeight="1">
      <c r="I699" s="6"/>
      <c r="K699" s="7"/>
    </row>
    <row r="700" ht="14.25" customHeight="1">
      <c r="I700" s="6"/>
      <c r="K700" s="7"/>
    </row>
    <row r="701" ht="14.25" customHeight="1">
      <c r="I701" s="6"/>
      <c r="K701" s="7"/>
    </row>
    <row r="702" ht="14.25" customHeight="1">
      <c r="I702" s="6"/>
      <c r="K702" s="7"/>
    </row>
    <row r="703" ht="14.25" customHeight="1">
      <c r="I703" s="6"/>
      <c r="K703" s="7"/>
    </row>
    <row r="704" ht="14.25" customHeight="1">
      <c r="I704" s="6"/>
      <c r="K704" s="7"/>
    </row>
    <row r="705" ht="14.25" customHeight="1">
      <c r="I705" s="6"/>
      <c r="K705" s="7"/>
    </row>
    <row r="706" ht="14.25" customHeight="1">
      <c r="I706" s="6"/>
      <c r="K706" s="7"/>
    </row>
    <row r="707" ht="14.25" customHeight="1">
      <c r="I707" s="6"/>
      <c r="K707" s="7"/>
    </row>
    <row r="708" ht="14.25" customHeight="1">
      <c r="I708" s="6"/>
      <c r="K708" s="7"/>
    </row>
    <row r="709" ht="14.25" customHeight="1">
      <c r="I709" s="6"/>
      <c r="K709" s="7"/>
    </row>
    <row r="710" ht="14.25" customHeight="1">
      <c r="I710" s="6"/>
      <c r="K710" s="7"/>
    </row>
    <row r="711" ht="14.25" customHeight="1">
      <c r="I711" s="6"/>
      <c r="K711" s="7"/>
    </row>
    <row r="712" ht="14.25" customHeight="1">
      <c r="I712" s="6"/>
      <c r="K712" s="7"/>
    </row>
    <row r="713" ht="14.25" customHeight="1">
      <c r="I713" s="6"/>
      <c r="K713" s="7"/>
    </row>
    <row r="714" ht="14.25" customHeight="1">
      <c r="I714" s="6"/>
      <c r="K714" s="7"/>
    </row>
    <row r="715" ht="14.25" customHeight="1">
      <c r="I715" s="6"/>
      <c r="K715" s="7"/>
    </row>
    <row r="716" ht="14.25" customHeight="1">
      <c r="I716" s="6"/>
      <c r="K716" s="7"/>
    </row>
    <row r="717" ht="14.25" customHeight="1">
      <c r="I717" s="6"/>
      <c r="K717" s="7"/>
    </row>
    <row r="718" ht="14.25" customHeight="1">
      <c r="I718" s="6"/>
      <c r="K718" s="7"/>
    </row>
    <row r="719" ht="14.25" customHeight="1">
      <c r="I719" s="6"/>
      <c r="K719" s="7"/>
    </row>
    <row r="720" ht="14.25" customHeight="1">
      <c r="I720" s="6"/>
      <c r="K720" s="7"/>
    </row>
    <row r="721" ht="14.25" customHeight="1">
      <c r="I721" s="6"/>
      <c r="K721" s="7"/>
    </row>
    <row r="722" ht="14.25" customHeight="1">
      <c r="I722" s="6"/>
      <c r="K722" s="7"/>
    </row>
    <row r="723" ht="14.25" customHeight="1">
      <c r="I723" s="6"/>
      <c r="K723" s="7"/>
    </row>
    <row r="724" ht="14.25" customHeight="1">
      <c r="I724" s="6"/>
      <c r="K724" s="7"/>
    </row>
    <row r="725" ht="14.25" customHeight="1">
      <c r="I725" s="6"/>
      <c r="K725" s="7"/>
    </row>
    <row r="726" ht="14.25" customHeight="1">
      <c r="I726" s="6"/>
      <c r="K726" s="7"/>
    </row>
    <row r="727" ht="14.25" customHeight="1">
      <c r="I727" s="6"/>
      <c r="K727" s="7"/>
    </row>
    <row r="728" ht="14.25" customHeight="1">
      <c r="I728" s="6"/>
      <c r="K728" s="7"/>
    </row>
    <row r="729" ht="14.25" customHeight="1">
      <c r="I729" s="6"/>
      <c r="K729" s="7"/>
    </row>
    <row r="730" ht="14.25" customHeight="1">
      <c r="I730" s="6"/>
      <c r="K730" s="7"/>
    </row>
    <row r="731" ht="14.25" customHeight="1">
      <c r="I731" s="6"/>
      <c r="K731" s="7"/>
    </row>
    <row r="732" ht="14.25" customHeight="1">
      <c r="I732" s="6"/>
      <c r="K732" s="7"/>
    </row>
    <row r="733" ht="14.25" customHeight="1">
      <c r="I733" s="6"/>
      <c r="K733" s="7"/>
    </row>
    <row r="734" ht="14.25" customHeight="1">
      <c r="I734" s="6"/>
      <c r="K734" s="7"/>
    </row>
    <row r="735" ht="14.25" customHeight="1">
      <c r="I735" s="6"/>
      <c r="K735" s="7"/>
    </row>
    <row r="736" ht="14.25" customHeight="1">
      <c r="I736" s="6"/>
      <c r="K736" s="7"/>
    </row>
    <row r="737" ht="14.25" customHeight="1">
      <c r="I737" s="6"/>
      <c r="K737" s="7"/>
    </row>
    <row r="738" ht="14.25" customHeight="1">
      <c r="I738" s="6"/>
      <c r="K738" s="7"/>
    </row>
    <row r="739" ht="14.25" customHeight="1">
      <c r="I739" s="6"/>
      <c r="K739" s="7"/>
    </row>
    <row r="740" ht="14.25" customHeight="1">
      <c r="I740" s="6"/>
      <c r="K740" s="7"/>
    </row>
    <row r="741" ht="14.25" customHeight="1">
      <c r="I741" s="6"/>
      <c r="K741" s="7"/>
    </row>
    <row r="742" ht="14.25" customHeight="1">
      <c r="I742" s="6"/>
      <c r="K742" s="7"/>
    </row>
    <row r="743" ht="14.25" customHeight="1">
      <c r="I743" s="6"/>
      <c r="K743" s="7"/>
    </row>
    <row r="744" ht="14.25" customHeight="1">
      <c r="I744" s="6"/>
      <c r="K744" s="7"/>
    </row>
    <row r="745" ht="14.25" customHeight="1">
      <c r="I745" s="6"/>
      <c r="K745" s="7"/>
    </row>
    <row r="746" ht="14.25" customHeight="1">
      <c r="I746" s="6"/>
      <c r="K746" s="7"/>
    </row>
    <row r="747" ht="14.25" customHeight="1">
      <c r="I747" s="6"/>
      <c r="K747" s="7"/>
    </row>
    <row r="748" ht="14.25" customHeight="1">
      <c r="I748" s="6"/>
      <c r="K748" s="7"/>
    </row>
    <row r="749" ht="14.25" customHeight="1">
      <c r="I749" s="6"/>
      <c r="K749" s="7"/>
    </row>
    <row r="750" ht="14.25" customHeight="1">
      <c r="I750" s="6"/>
      <c r="K750" s="7"/>
    </row>
    <row r="751" ht="14.25" customHeight="1">
      <c r="I751" s="6"/>
      <c r="K751" s="7"/>
    </row>
    <row r="752" ht="14.25" customHeight="1">
      <c r="I752" s="6"/>
      <c r="K752" s="7"/>
    </row>
    <row r="753" ht="14.25" customHeight="1">
      <c r="I753" s="6"/>
      <c r="K753" s="7"/>
    </row>
    <row r="754" ht="14.25" customHeight="1">
      <c r="I754" s="6"/>
      <c r="K754" s="7"/>
    </row>
    <row r="755" ht="14.25" customHeight="1">
      <c r="I755" s="6"/>
      <c r="K755" s="7"/>
    </row>
    <row r="756" ht="14.25" customHeight="1">
      <c r="I756" s="6"/>
      <c r="K756" s="7"/>
    </row>
    <row r="757" ht="14.25" customHeight="1">
      <c r="I757" s="6"/>
      <c r="K757" s="7"/>
    </row>
    <row r="758" ht="14.25" customHeight="1">
      <c r="I758" s="6"/>
      <c r="K758" s="7"/>
    </row>
    <row r="759" ht="14.25" customHeight="1">
      <c r="I759" s="6"/>
      <c r="K759" s="7"/>
    </row>
    <row r="760" ht="14.25" customHeight="1">
      <c r="I760" s="6"/>
      <c r="K760" s="7"/>
    </row>
    <row r="761" ht="14.25" customHeight="1">
      <c r="I761" s="6"/>
      <c r="K761" s="7"/>
    </row>
    <row r="762" ht="14.25" customHeight="1">
      <c r="I762" s="6"/>
      <c r="K762" s="7"/>
    </row>
    <row r="763" ht="14.25" customHeight="1">
      <c r="I763" s="6"/>
      <c r="K763" s="7"/>
    </row>
    <row r="764" ht="14.25" customHeight="1">
      <c r="I764" s="6"/>
      <c r="K764" s="7"/>
    </row>
    <row r="765" ht="14.25" customHeight="1">
      <c r="I765" s="6"/>
      <c r="K765" s="7"/>
    </row>
    <row r="766" ht="14.25" customHeight="1">
      <c r="I766" s="6"/>
      <c r="K766" s="7"/>
    </row>
    <row r="767" ht="14.25" customHeight="1">
      <c r="I767" s="6"/>
      <c r="K767" s="7"/>
    </row>
    <row r="768" ht="14.25" customHeight="1">
      <c r="I768" s="6"/>
      <c r="K768" s="7"/>
    </row>
    <row r="769" ht="14.25" customHeight="1">
      <c r="I769" s="6"/>
      <c r="K769" s="7"/>
    </row>
    <row r="770" ht="14.25" customHeight="1">
      <c r="I770" s="6"/>
      <c r="K770" s="7"/>
    </row>
    <row r="771" ht="14.25" customHeight="1">
      <c r="I771" s="6"/>
      <c r="K771" s="7"/>
    </row>
    <row r="772" ht="14.25" customHeight="1">
      <c r="I772" s="6"/>
      <c r="K772" s="7"/>
    </row>
    <row r="773" ht="14.25" customHeight="1">
      <c r="I773" s="6"/>
      <c r="K773" s="7"/>
    </row>
    <row r="774" ht="14.25" customHeight="1">
      <c r="I774" s="6"/>
      <c r="K774" s="7"/>
    </row>
    <row r="775" ht="14.25" customHeight="1">
      <c r="I775" s="6"/>
      <c r="K775" s="7"/>
    </row>
    <row r="776" ht="14.25" customHeight="1">
      <c r="I776" s="6"/>
      <c r="K776" s="7"/>
    </row>
    <row r="777" ht="14.25" customHeight="1">
      <c r="I777" s="6"/>
      <c r="K777" s="7"/>
    </row>
    <row r="778" ht="14.25" customHeight="1">
      <c r="I778" s="6"/>
      <c r="K778" s="7"/>
    </row>
    <row r="779" ht="14.25" customHeight="1">
      <c r="I779" s="6"/>
      <c r="K779" s="7"/>
    </row>
    <row r="780" ht="14.25" customHeight="1">
      <c r="I780" s="6"/>
      <c r="K780" s="7"/>
    </row>
    <row r="781" ht="14.25" customHeight="1">
      <c r="I781" s="6"/>
      <c r="K781" s="7"/>
    </row>
    <row r="782" ht="14.25" customHeight="1">
      <c r="I782" s="6"/>
      <c r="K782" s="7"/>
    </row>
    <row r="783" ht="14.25" customHeight="1">
      <c r="I783" s="6"/>
      <c r="K783" s="7"/>
    </row>
    <row r="784" ht="14.25" customHeight="1">
      <c r="I784" s="6"/>
      <c r="K784" s="7"/>
    </row>
    <row r="785" ht="14.25" customHeight="1">
      <c r="I785" s="6"/>
      <c r="K785" s="7"/>
    </row>
    <row r="786" ht="14.25" customHeight="1">
      <c r="I786" s="6"/>
      <c r="K786" s="7"/>
    </row>
    <row r="787" ht="14.25" customHeight="1">
      <c r="I787" s="6"/>
      <c r="K787" s="7"/>
    </row>
    <row r="788" ht="14.25" customHeight="1">
      <c r="I788" s="6"/>
      <c r="K788" s="7"/>
    </row>
    <row r="789" ht="14.25" customHeight="1">
      <c r="I789" s="6"/>
      <c r="K789" s="7"/>
    </row>
    <row r="790" ht="14.25" customHeight="1">
      <c r="I790" s="6"/>
      <c r="K790" s="7"/>
    </row>
    <row r="791" ht="14.25" customHeight="1">
      <c r="I791" s="6"/>
      <c r="K791" s="7"/>
    </row>
    <row r="792" ht="14.25" customHeight="1">
      <c r="I792" s="6"/>
      <c r="K792" s="7"/>
    </row>
    <row r="793" ht="14.25" customHeight="1">
      <c r="I793" s="6"/>
      <c r="K793" s="7"/>
    </row>
    <row r="794" ht="14.25" customHeight="1">
      <c r="I794" s="6"/>
      <c r="K794" s="7"/>
    </row>
    <row r="795" ht="14.25" customHeight="1">
      <c r="I795" s="6"/>
      <c r="K795" s="7"/>
    </row>
    <row r="796" ht="14.25" customHeight="1">
      <c r="I796" s="6"/>
      <c r="K796" s="7"/>
    </row>
    <row r="797" ht="14.25" customHeight="1">
      <c r="I797" s="6"/>
      <c r="K797" s="7"/>
    </row>
    <row r="798" ht="14.25" customHeight="1">
      <c r="I798" s="6"/>
      <c r="K798" s="7"/>
    </row>
    <row r="799" ht="14.25" customHeight="1">
      <c r="I799" s="6"/>
      <c r="K799" s="7"/>
    </row>
    <row r="800" ht="14.25" customHeight="1">
      <c r="I800" s="6"/>
      <c r="K800" s="7"/>
    </row>
    <row r="801" ht="14.25" customHeight="1">
      <c r="I801" s="6"/>
      <c r="K801" s="7"/>
    </row>
    <row r="802" ht="14.25" customHeight="1">
      <c r="I802" s="6"/>
      <c r="K802" s="7"/>
    </row>
    <row r="803" ht="14.25" customHeight="1">
      <c r="I803" s="6"/>
      <c r="K803" s="7"/>
    </row>
    <row r="804" ht="14.25" customHeight="1">
      <c r="I804" s="6"/>
      <c r="K804" s="7"/>
    </row>
    <row r="805" ht="14.25" customHeight="1">
      <c r="I805" s="6"/>
      <c r="K805" s="7"/>
    </row>
    <row r="806" ht="14.25" customHeight="1">
      <c r="I806" s="6"/>
      <c r="K806" s="7"/>
    </row>
    <row r="807" ht="14.25" customHeight="1">
      <c r="I807" s="6"/>
      <c r="K807" s="7"/>
    </row>
    <row r="808" ht="14.25" customHeight="1">
      <c r="I808" s="6"/>
      <c r="K808" s="7"/>
    </row>
    <row r="809" ht="14.25" customHeight="1">
      <c r="I809" s="6"/>
      <c r="K809" s="7"/>
    </row>
    <row r="810" ht="14.25" customHeight="1">
      <c r="I810" s="6"/>
      <c r="K810" s="7"/>
    </row>
    <row r="811" ht="14.25" customHeight="1">
      <c r="I811" s="6"/>
      <c r="K811" s="7"/>
    </row>
    <row r="812" ht="14.25" customHeight="1">
      <c r="I812" s="6"/>
      <c r="K812" s="7"/>
    </row>
    <row r="813" ht="14.25" customHeight="1">
      <c r="I813" s="6"/>
      <c r="K813" s="7"/>
    </row>
    <row r="814" ht="14.25" customHeight="1">
      <c r="I814" s="6"/>
      <c r="K814" s="7"/>
    </row>
    <row r="815" ht="14.25" customHeight="1">
      <c r="I815" s="6"/>
      <c r="K815" s="7"/>
    </row>
    <row r="816" ht="14.25" customHeight="1">
      <c r="I816" s="6"/>
      <c r="K816" s="7"/>
    </row>
    <row r="817" ht="14.25" customHeight="1">
      <c r="I817" s="6"/>
      <c r="K817" s="7"/>
    </row>
    <row r="818" ht="14.25" customHeight="1">
      <c r="I818" s="6"/>
      <c r="K818" s="7"/>
    </row>
    <row r="819" ht="14.25" customHeight="1">
      <c r="I819" s="6"/>
      <c r="K819" s="7"/>
    </row>
    <row r="820" ht="14.25" customHeight="1">
      <c r="I820" s="6"/>
      <c r="K820" s="7"/>
    </row>
    <row r="821" ht="14.25" customHeight="1">
      <c r="I821" s="6"/>
      <c r="K821" s="7"/>
    </row>
    <row r="822" ht="14.25" customHeight="1">
      <c r="I822" s="6"/>
      <c r="K822" s="7"/>
    </row>
    <row r="823" ht="14.25" customHeight="1">
      <c r="I823" s="6"/>
      <c r="K823" s="7"/>
    </row>
    <row r="824" ht="14.25" customHeight="1">
      <c r="I824" s="6"/>
      <c r="K824" s="7"/>
    </row>
    <row r="825" ht="14.25" customHeight="1">
      <c r="I825" s="6"/>
      <c r="K825" s="7"/>
    </row>
    <row r="826" ht="14.25" customHeight="1">
      <c r="I826" s="6"/>
      <c r="K826" s="7"/>
    </row>
    <row r="827" ht="14.25" customHeight="1">
      <c r="I827" s="6"/>
      <c r="K827" s="7"/>
    </row>
    <row r="828" ht="14.25" customHeight="1">
      <c r="I828" s="6"/>
      <c r="K828" s="7"/>
    </row>
    <row r="829" ht="14.25" customHeight="1">
      <c r="I829" s="6"/>
      <c r="K829" s="7"/>
    </row>
    <row r="830" ht="14.25" customHeight="1">
      <c r="I830" s="6"/>
      <c r="K830" s="7"/>
    </row>
    <row r="831" ht="14.25" customHeight="1">
      <c r="I831" s="6"/>
      <c r="K831" s="7"/>
    </row>
    <row r="832" ht="14.25" customHeight="1">
      <c r="I832" s="6"/>
      <c r="K832" s="7"/>
    </row>
    <row r="833" ht="14.25" customHeight="1">
      <c r="I833" s="6"/>
      <c r="K833" s="7"/>
    </row>
    <row r="834" ht="14.25" customHeight="1">
      <c r="I834" s="6"/>
      <c r="K834" s="7"/>
    </row>
    <row r="835" ht="14.25" customHeight="1">
      <c r="I835" s="6"/>
      <c r="K835" s="7"/>
    </row>
    <row r="836" ht="14.25" customHeight="1">
      <c r="I836" s="6"/>
      <c r="K836" s="7"/>
    </row>
    <row r="837" ht="14.25" customHeight="1">
      <c r="I837" s="6"/>
      <c r="K837" s="7"/>
    </row>
    <row r="838" ht="14.25" customHeight="1">
      <c r="I838" s="6"/>
      <c r="K838" s="7"/>
    </row>
    <row r="839" ht="14.25" customHeight="1">
      <c r="I839" s="6"/>
      <c r="K839" s="7"/>
    </row>
    <row r="840" ht="14.25" customHeight="1">
      <c r="I840" s="6"/>
      <c r="K840" s="7"/>
    </row>
    <row r="841" ht="14.25" customHeight="1">
      <c r="I841" s="6"/>
      <c r="K841" s="7"/>
    </row>
    <row r="842" ht="14.25" customHeight="1">
      <c r="I842" s="6"/>
      <c r="K842" s="7"/>
    </row>
    <row r="843" ht="14.25" customHeight="1">
      <c r="I843" s="6"/>
      <c r="K843" s="7"/>
    </row>
    <row r="844" ht="14.25" customHeight="1">
      <c r="I844" s="6"/>
      <c r="K844" s="7"/>
    </row>
    <row r="845" ht="14.25" customHeight="1">
      <c r="I845" s="6"/>
      <c r="K845" s="7"/>
    </row>
    <row r="846" ht="14.25" customHeight="1">
      <c r="I846" s="6"/>
      <c r="K846" s="7"/>
    </row>
    <row r="847" ht="14.25" customHeight="1">
      <c r="I847" s="6"/>
      <c r="K847" s="7"/>
    </row>
    <row r="848" ht="14.25" customHeight="1">
      <c r="I848" s="6"/>
      <c r="K848" s="7"/>
    </row>
    <row r="849" ht="14.25" customHeight="1">
      <c r="I849" s="6"/>
      <c r="K849" s="7"/>
    </row>
    <row r="850" ht="14.25" customHeight="1">
      <c r="I850" s="6"/>
      <c r="K850" s="7"/>
    </row>
    <row r="851" ht="14.25" customHeight="1">
      <c r="I851" s="6"/>
      <c r="K851" s="7"/>
    </row>
    <row r="852" ht="14.25" customHeight="1">
      <c r="I852" s="6"/>
      <c r="K852" s="7"/>
    </row>
    <row r="853" ht="14.25" customHeight="1">
      <c r="I853" s="6"/>
      <c r="K853" s="7"/>
    </row>
    <row r="854" ht="14.25" customHeight="1">
      <c r="I854" s="6"/>
      <c r="K854" s="7"/>
    </row>
    <row r="855" ht="14.25" customHeight="1">
      <c r="I855" s="6"/>
      <c r="K855" s="7"/>
    </row>
    <row r="856" ht="14.25" customHeight="1">
      <c r="I856" s="6"/>
      <c r="K856" s="7"/>
    </row>
    <row r="857" ht="14.25" customHeight="1">
      <c r="I857" s="6"/>
      <c r="K857" s="7"/>
    </row>
    <row r="858" ht="14.25" customHeight="1">
      <c r="I858" s="6"/>
      <c r="K858" s="7"/>
    </row>
    <row r="859" ht="14.25" customHeight="1">
      <c r="I859" s="6"/>
      <c r="K859" s="7"/>
    </row>
    <row r="860" ht="14.25" customHeight="1">
      <c r="I860" s="6"/>
      <c r="K860" s="7"/>
    </row>
    <row r="861" ht="14.25" customHeight="1">
      <c r="I861" s="6"/>
      <c r="K861" s="7"/>
    </row>
    <row r="862" ht="14.25" customHeight="1">
      <c r="I862" s="6"/>
      <c r="K862" s="7"/>
    </row>
    <row r="863" ht="14.25" customHeight="1">
      <c r="I863" s="6"/>
      <c r="K863" s="7"/>
    </row>
    <row r="864" ht="14.25" customHeight="1">
      <c r="I864" s="6"/>
      <c r="K864" s="7"/>
    </row>
    <row r="865" ht="14.25" customHeight="1">
      <c r="I865" s="6"/>
      <c r="K865" s="7"/>
    </row>
    <row r="866" ht="14.25" customHeight="1">
      <c r="I866" s="6"/>
      <c r="K866" s="7"/>
    </row>
    <row r="867" ht="14.25" customHeight="1">
      <c r="I867" s="6"/>
      <c r="K867" s="7"/>
    </row>
    <row r="868" ht="14.25" customHeight="1">
      <c r="I868" s="6"/>
      <c r="K868" s="7"/>
    </row>
    <row r="869" ht="14.25" customHeight="1">
      <c r="I869" s="6"/>
      <c r="K869" s="7"/>
    </row>
    <row r="870" ht="14.25" customHeight="1">
      <c r="I870" s="6"/>
      <c r="K870" s="7"/>
    </row>
    <row r="871" ht="14.25" customHeight="1">
      <c r="I871" s="6"/>
      <c r="K871" s="7"/>
    </row>
    <row r="872" ht="14.25" customHeight="1">
      <c r="I872" s="6"/>
      <c r="K872" s="7"/>
    </row>
    <row r="873" ht="14.25" customHeight="1">
      <c r="I873" s="6"/>
      <c r="K873" s="7"/>
    </row>
    <row r="874" ht="14.25" customHeight="1">
      <c r="I874" s="6"/>
      <c r="K874" s="7"/>
    </row>
    <row r="875" ht="14.25" customHeight="1">
      <c r="I875" s="6"/>
      <c r="K875" s="7"/>
    </row>
    <row r="876" ht="14.25" customHeight="1">
      <c r="I876" s="6"/>
      <c r="K876" s="7"/>
    </row>
    <row r="877" ht="14.25" customHeight="1">
      <c r="I877" s="6"/>
      <c r="K877" s="7"/>
    </row>
    <row r="878" ht="14.25" customHeight="1">
      <c r="I878" s="6"/>
      <c r="K878" s="7"/>
    </row>
    <row r="879" ht="14.25" customHeight="1">
      <c r="I879" s="6"/>
      <c r="K879" s="7"/>
    </row>
    <row r="880" ht="14.25" customHeight="1">
      <c r="I880" s="6"/>
      <c r="K880" s="7"/>
    </row>
    <row r="881" ht="14.25" customHeight="1">
      <c r="I881" s="6"/>
      <c r="K881" s="7"/>
    </row>
    <row r="882" ht="14.25" customHeight="1">
      <c r="I882" s="6"/>
      <c r="K882" s="7"/>
    </row>
    <row r="883" ht="14.25" customHeight="1">
      <c r="I883" s="6"/>
      <c r="K883" s="7"/>
    </row>
    <row r="884" ht="14.25" customHeight="1">
      <c r="I884" s="6"/>
      <c r="K884" s="7"/>
    </row>
    <row r="885" ht="14.25" customHeight="1">
      <c r="I885" s="6"/>
      <c r="K885" s="7"/>
    </row>
    <row r="886" ht="14.25" customHeight="1">
      <c r="I886" s="6"/>
      <c r="K886" s="7"/>
    </row>
    <row r="887" ht="14.25" customHeight="1">
      <c r="I887" s="6"/>
      <c r="K887" s="7"/>
    </row>
    <row r="888" ht="14.25" customHeight="1">
      <c r="I888" s="6"/>
      <c r="K888" s="7"/>
    </row>
    <row r="889" ht="14.25" customHeight="1">
      <c r="I889" s="6"/>
      <c r="K889" s="7"/>
    </row>
    <row r="890" ht="14.25" customHeight="1">
      <c r="I890" s="6"/>
      <c r="K890" s="7"/>
    </row>
    <row r="891" ht="14.25" customHeight="1">
      <c r="I891" s="6"/>
      <c r="K891" s="7"/>
    </row>
    <row r="892" ht="14.25" customHeight="1">
      <c r="I892" s="6"/>
      <c r="K892" s="7"/>
    </row>
    <row r="893" ht="14.25" customHeight="1">
      <c r="I893" s="6"/>
      <c r="K893" s="7"/>
    </row>
    <row r="894" ht="14.25" customHeight="1">
      <c r="I894" s="6"/>
      <c r="K894" s="7"/>
    </row>
    <row r="895" ht="14.25" customHeight="1">
      <c r="I895" s="6"/>
      <c r="K895" s="7"/>
    </row>
    <row r="896" ht="14.25" customHeight="1">
      <c r="I896" s="6"/>
      <c r="K896" s="7"/>
    </row>
    <row r="897" ht="14.25" customHeight="1">
      <c r="I897" s="6"/>
      <c r="K897" s="7"/>
    </row>
    <row r="898" ht="14.25" customHeight="1">
      <c r="I898" s="6"/>
      <c r="K898" s="7"/>
    </row>
    <row r="899" ht="14.25" customHeight="1">
      <c r="I899" s="6"/>
      <c r="K899" s="7"/>
    </row>
    <row r="900" ht="14.25" customHeight="1">
      <c r="I900" s="6"/>
      <c r="K900" s="7"/>
    </row>
    <row r="901" ht="14.25" customHeight="1">
      <c r="I901" s="6"/>
      <c r="K901" s="7"/>
    </row>
    <row r="902" ht="14.25" customHeight="1">
      <c r="I902" s="6"/>
      <c r="K902" s="7"/>
    </row>
    <row r="903" ht="14.25" customHeight="1">
      <c r="I903" s="6"/>
      <c r="K903" s="7"/>
    </row>
    <row r="904" ht="14.25" customHeight="1">
      <c r="I904" s="6"/>
      <c r="K904" s="7"/>
    </row>
    <row r="905" ht="14.25" customHeight="1">
      <c r="I905" s="6"/>
      <c r="K905" s="7"/>
    </row>
    <row r="906" ht="14.25" customHeight="1">
      <c r="I906" s="6"/>
      <c r="K906" s="7"/>
    </row>
    <row r="907" ht="14.25" customHeight="1">
      <c r="I907" s="6"/>
      <c r="K907" s="7"/>
    </row>
    <row r="908" ht="14.25" customHeight="1">
      <c r="I908" s="6"/>
      <c r="K908" s="7"/>
    </row>
    <row r="909" ht="14.25" customHeight="1">
      <c r="I909" s="6"/>
      <c r="K909" s="7"/>
    </row>
    <row r="910" ht="14.25" customHeight="1">
      <c r="I910" s="6"/>
      <c r="K910" s="7"/>
    </row>
    <row r="911" ht="14.25" customHeight="1">
      <c r="I911" s="6"/>
      <c r="K911" s="7"/>
    </row>
    <row r="912" ht="14.25" customHeight="1">
      <c r="I912" s="6"/>
      <c r="K912" s="7"/>
    </row>
    <row r="913" ht="14.25" customHeight="1">
      <c r="I913" s="6"/>
      <c r="K913" s="7"/>
    </row>
    <row r="914" ht="14.25" customHeight="1">
      <c r="I914" s="6"/>
      <c r="K914" s="7"/>
    </row>
    <row r="915" ht="14.25" customHeight="1">
      <c r="I915" s="6"/>
      <c r="K915" s="7"/>
    </row>
    <row r="916" ht="14.25" customHeight="1">
      <c r="I916" s="6"/>
      <c r="K916" s="7"/>
    </row>
    <row r="917" ht="14.25" customHeight="1">
      <c r="I917" s="6"/>
      <c r="K917" s="7"/>
    </row>
    <row r="918" ht="14.25" customHeight="1">
      <c r="I918" s="6"/>
      <c r="K918" s="7"/>
    </row>
    <row r="919" ht="14.25" customHeight="1">
      <c r="I919" s="6"/>
      <c r="K919" s="7"/>
    </row>
    <row r="920" ht="14.25" customHeight="1">
      <c r="I920" s="6"/>
      <c r="K920" s="7"/>
    </row>
    <row r="921" ht="14.25" customHeight="1">
      <c r="I921" s="6"/>
      <c r="K921" s="7"/>
    </row>
    <row r="922" ht="14.25" customHeight="1">
      <c r="I922" s="6"/>
      <c r="K922" s="7"/>
    </row>
    <row r="923" ht="14.25" customHeight="1">
      <c r="I923" s="6"/>
      <c r="K923" s="7"/>
    </row>
    <row r="924" ht="14.25" customHeight="1">
      <c r="I924" s="6"/>
      <c r="K924" s="7"/>
    </row>
    <row r="925" ht="14.25" customHeight="1">
      <c r="I925" s="6"/>
      <c r="K925" s="7"/>
    </row>
    <row r="926" ht="14.25" customHeight="1">
      <c r="I926" s="6"/>
      <c r="K926" s="7"/>
    </row>
    <row r="927" ht="14.25" customHeight="1">
      <c r="I927" s="6"/>
      <c r="K927" s="7"/>
    </row>
    <row r="928" ht="14.25" customHeight="1">
      <c r="I928" s="6"/>
      <c r="K928" s="7"/>
    </row>
    <row r="929" ht="14.25" customHeight="1">
      <c r="I929" s="6"/>
      <c r="K929" s="7"/>
    </row>
    <row r="930" ht="14.25" customHeight="1">
      <c r="I930" s="6"/>
      <c r="K930" s="7"/>
    </row>
    <row r="931" ht="14.25" customHeight="1">
      <c r="I931" s="6"/>
      <c r="K931" s="7"/>
    </row>
    <row r="932" ht="14.25" customHeight="1">
      <c r="I932" s="6"/>
      <c r="K932" s="7"/>
    </row>
    <row r="933" ht="14.25" customHeight="1">
      <c r="I933" s="6"/>
      <c r="K933" s="7"/>
    </row>
    <row r="934" ht="14.25" customHeight="1">
      <c r="I934" s="6"/>
      <c r="K934" s="7"/>
    </row>
    <row r="935" ht="14.25" customHeight="1">
      <c r="I935" s="6"/>
      <c r="K935" s="7"/>
    </row>
    <row r="936" ht="14.25" customHeight="1">
      <c r="I936" s="6"/>
      <c r="K936" s="7"/>
    </row>
    <row r="937" ht="14.25" customHeight="1">
      <c r="I937" s="6"/>
      <c r="K937" s="7"/>
    </row>
    <row r="938" ht="14.25" customHeight="1">
      <c r="I938" s="6"/>
      <c r="K938" s="7"/>
    </row>
    <row r="939" ht="14.25" customHeight="1">
      <c r="I939" s="6"/>
      <c r="K939" s="7"/>
    </row>
    <row r="940" ht="14.25" customHeight="1">
      <c r="I940" s="6"/>
      <c r="K940" s="7"/>
    </row>
    <row r="941" ht="14.25" customHeight="1">
      <c r="I941" s="6"/>
      <c r="K941" s="7"/>
    </row>
    <row r="942" ht="14.25" customHeight="1">
      <c r="I942" s="6"/>
      <c r="K942" s="7"/>
    </row>
    <row r="943" ht="14.25" customHeight="1">
      <c r="I943" s="6"/>
      <c r="K943" s="7"/>
    </row>
    <row r="944" ht="14.25" customHeight="1">
      <c r="I944" s="6"/>
      <c r="K944" s="7"/>
    </row>
    <row r="945" ht="14.25" customHeight="1">
      <c r="I945" s="6"/>
      <c r="K945" s="7"/>
    </row>
    <row r="946" ht="14.25" customHeight="1">
      <c r="I946" s="6"/>
      <c r="K946" s="7"/>
    </row>
    <row r="947" ht="14.25" customHeight="1">
      <c r="I947" s="6"/>
      <c r="K947" s="7"/>
    </row>
    <row r="948" ht="14.25" customHeight="1">
      <c r="I948" s="6"/>
      <c r="K948" s="7"/>
    </row>
    <row r="949" ht="14.25" customHeight="1">
      <c r="I949" s="6"/>
      <c r="K949" s="7"/>
    </row>
    <row r="950" ht="14.25" customHeight="1">
      <c r="I950" s="6"/>
      <c r="K950" s="7"/>
    </row>
    <row r="951" ht="14.25" customHeight="1">
      <c r="I951" s="6"/>
      <c r="K951" s="7"/>
    </row>
    <row r="952" ht="14.25" customHeight="1">
      <c r="I952" s="6"/>
      <c r="K952" s="7"/>
    </row>
    <row r="953" ht="14.25" customHeight="1">
      <c r="I953" s="6"/>
      <c r="K953" s="7"/>
    </row>
    <row r="954" ht="14.25" customHeight="1">
      <c r="I954" s="6"/>
      <c r="K954" s="7"/>
    </row>
    <row r="955" ht="14.25" customHeight="1">
      <c r="I955" s="6"/>
      <c r="K955" s="7"/>
    </row>
    <row r="956" ht="14.25" customHeight="1">
      <c r="I956" s="6"/>
      <c r="K956" s="7"/>
    </row>
    <row r="957" ht="14.25" customHeight="1">
      <c r="I957" s="6"/>
      <c r="K957" s="7"/>
    </row>
    <row r="958" ht="14.25" customHeight="1">
      <c r="I958" s="6"/>
      <c r="K958" s="7"/>
    </row>
    <row r="959" ht="14.25" customHeight="1">
      <c r="I959" s="6"/>
      <c r="K959" s="7"/>
    </row>
    <row r="960" ht="14.25" customHeight="1">
      <c r="I960" s="6"/>
      <c r="K960" s="7"/>
    </row>
    <row r="961" ht="14.25" customHeight="1">
      <c r="I961" s="6"/>
      <c r="K961" s="7"/>
    </row>
    <row r="962" ht="14.25" customHeight="1">
      <c r="I962" s="6"/>
      <c r="K962" s="7"/>
    </row>
    <row r="963" ht="14.25" customHeight="1">
      <c r="I963" s="6"/>
      <c r="K963" s="7"/>
    </row>
    <row r="964" ht="14.25" customHeight="1">
      <c r="I964" s="6"/>
      <c r="K964" s="7"/>
    </row>
    <row r="965" ht="14.25" customHeight="1">
      <c r="I965" s="6"/>
      <c r="K965" s="7"/>
    </row>
    <row r="966" ht="14.25" customHeight="1">
      <c r="I966" s="6"/>
      <c r="K966" s="7"/>
    </row>
    <row r="967" ht="14.25" customHeight="1">
      <c r="I967" s="6"/>
      <c r="K967" s="7"/>
    </row>
    <row r="968" ht="14.25" customHeight="1">
      <c r="I968" s="6"/>
      <c r="K968" s="7"/>
    </row>
    <row r="969" ht="14.25" customHeight="1">
      <c r="I969" s="6"/>
      <c r="K969" s="7"/>
    </row>
    <row r="970" ht="14.25" customHeight="1">
      <c r="I970" s="6"/>
      <c r="K970" s="7"/>
    </row>
    <row r="971" ht="14.25" customHeight="1">
      <c r="I971" s="6"/>
      <c r="K971" s="7"/>
    </row>
    <row r="972" ht="14.25" customHeight="1">
      <c r="I972" s="6"/>
      <c r="K972" s="7"/>
    </row>
    <row r="973" ht="14.25" customHeight="1">
      <c r="I973" s="6"/>
      <c r="K973" s="7"/>
    </row>
    <row r="974" ht="14.25" customHeight="1">
      <c r="I974" s="6"/>
      <c r="K974" s="7"/>
    </row>
    <row r="975" ht="14.25" customHeight="1">
      <c r="I975" s="6"/>
      <c r="K975" s="7"/>
    </row>
    <row r="976" ht="14.25" customHeight="1">
      <c r="I976" s="6"/>
      <c r="K976" s="7"/>
    </row>
    <row r="977" ht="14.25" customHeight="1">
      <c r="I977" s="6"/>
      <c r="K977" s="7"/>
    </row>
    <row r="978" ht="14.25" customHeight="1">
      <c r="I978" s="6"/>
      <c r="K978" s="7"/>
    </row>
    <row r="979" ht="14.25" customHeight="1">
      <c r="I979" s="6"/>
      <c r="K979" s="7"/>
    </row>
    <row r="980" ht="14.25" customHeight="1">
      <c r="I980" s="6"/>
      <c r="K980" s="7"/>
    </row>
    <row r="981" ht="14.25" customHeight="1">
      <c r="I981" s="6"/>
      <c r="K981" s="7"/>
    </row>
    <row r="982" ht="14.25" customHeight="1">
      <c r="I982" s="6"/>
      <c r="K982" s="7"/>
    </row>
    <row r="983" ht="14.25" customHeight="1">
      <c r="I983" s="6"/>
      <c r="K983" s="7"/>
    </row>
    <row r="984" ht="14.25" customHeight="1">
      <c r="I984" s="6"/>
      <c r="K984" s="7"/>
    </row>
    <row r="985" ht="14.25" customHeight="1">
      <c r="I985" s="6"/>
      <c r="K985" s="7"/>
    </row>
    <row r="986" ht="14.25" customHeight="1">
      <c r="I986" s="6"/>
      <c r="K986" s="7"/>
    </row>
    <row r="987" ht="14.25" customHeight="1">
      <c r="I987" s="6"/>
      <c r="K987" s="7"/>
    </row>
    <row r="988" ht="14.25" customHeight="1">
      <c r="I988" s="6"/>
      <c r="K988" s="7"/>
    </row>
    <row r="989" ht="14.25" customHeight="1">
      <c r="I989" s="6"/>
      <c r="K989" s="7"/>
    </row>
    <row r="990" ht="14.25" customHeight="1">
      <c r="I990" s="6"/>
      <c r="K990" s="7"/>
    </row>
    <row r="991" ht="14.25" customHeight="1">
      <c r="I991" s="6"/>
      <c r="K991" s="7"/>
    </row>
    <row r="992" ht="14.25" customHeight="1">
      <c r="I992" s="6"/>
      <c r="K992" s="7"/>
    </row>
    <row r="993" ht="14.25" customHeight="1">
      <c r="I993" s="6"/>
      <c r="K993" s="7"/>
    </row>
    <row r="994" ht="14.25" customHeight="1">
      <c r="I994" s="6"/>
      <c r="K994" s="7"/>
    </row>
    <row r="995" ht="14.25" customHeight="1">
      <c r="I995" s="6"/>
      <c r="K995" s="7"/>
    </row>
    <row r="996" ht="14.25" customHeight="1">
      <c r="I996" s="6"/>
      <c r="K996" s="7"/>
    </row>
    <row r="997" ht="14.25" customHeight="1">
      <c r="I997" s="6"/>
      <c r="K997" s="7"/>
    </row>
    <row r="998" ht="14.25" customHeight="1">
      <c r="I998" s="6"/>
      <c r="K998" s="7"/>
    </row>
    <row r="999" ht="14.25" customHeight="1">
      <c r="I999" s="6"/>
      <c r="K999" s="7"/>
    </row>
    <row r="1000" ht="14.25" customHeight="1">
      <c r="I1000" s="6"/>
      <c r="K1000" s="7"/>
    </row>
    <row r="1001" ht="14.25" customHeight="1">
      <c r="I1001" s="6"/>
      <c r="K1001" s="7"/>
    </row>
  </sheetData>
  <autoFilter ref="$A$5:$Z$35"/>
  <mergeCells count="2">
    <mergeCell ref="A1:L1"/>
    <mergeCell ref="A2:L2"/>
  </mergeCells>
  <conditionalFormatting sqref="F6:F35">
    <cfRule type="expression" dxfId="1" priority="1">
      <formula>ISNUMBER(SEARCH("Conclu",F6))</formula>
    </cfRule>
  </conditionalFormatting>
  <conditionalFormatting sqref="F6:F35">
    <cfRule type="expression" dxfId="2" priority="2">
      <formula>ISNUMBER(SEARCH("Pendente",F6))</formula>
    </cfRule>
  </conditionalFormatting>
  <conditionalFormatting sqref="F6:F35">
    <cfRule type="expression" dxfId="3" priority="3">
      <formula>ISNUMBER(SEARCH("Em",F6))</formula>
    </cfRule>
  </conditionalFormatting>
  <conditionalFormatting sqref="F6:F35">
    <cfRule type="expression" dxfId="3" priority="4">
      <formula>ISNUMBER(SEARCH("Manuten",F6))</formula>
    </cfRule>
  </conditionalFormatting>
  <conditionalFormatting sqref="F6:F35">
    <cfRule type="expression" dxfId="3" priority="5">
      <formula>ISNUMBER(SEARCH("Desenvol",F6))</formula>
    </cfRule>
  </conditionalFormatting>
  <conditionalFormatting sqref="F6:F35">
    <cfRule type="expression" dxfId="4" priority="6">
      <formula>ISNUMBER(SEARCH("Estudo",F6))</formula>
    </cfRule>
  </conditionalFormatting>
  <conditionalFormatting sqref="F6:F35">
    <cfRule type="expression" dxfId="4" priority="7">
      <formula>ISNUMBER(SEARCH("Monitor",F6))</formula>
    </cfRule>
  </conditionalFormatting>
  <conditionalFormatting sqref="J6:K35">
    <cfRule type="expression" dxfId="5" priority="8">
      <formula>ISNUMBER(SEARCH("Nível 4",J6))</formula>
    </cfRule>
  </conditionalFormatting>
  <conditionalFormatting sqref="J6:K35">
    <cfRule type="expression" dxfId="6" priority="9">
      <formula>ISNUMBER(SEARCH("Nível 3",J6))</formula>
    </cfRule>
  </conditionalFormatting>
  <conditionalFormatting sqref="J6:K35">
    <cfRule type="expression" dxfId="7" priority="10">
      <formula>ISNUMBER(SEARCH("Nível 2",J6))</formula>
    </cfRule>
  </conditionalFormatting>
  <conditionalFormatting sqref="J6:K35">
    <cfRule type="expression" dxfId="8" priority="11">
      <formula>ISNUMBER(SEARCH("Nível 1",J6))</formula>
    </cfRule>
  </conditionalFormatting>
  <dataValidations>
    <dataValidation type="list" allowBlank="1" sqref="J6:K35">
      <formula1>Listas!$B$2:$B$5</formula1>
    </dataValidation>
    <dataValidation type="list" allowBlank="1" sqref="F6:F35">
      <formula1>Listas!$A$2:$A$10</formula1>
    </dataValidation>
  </dataValidations>
  <hyperlinks>
    <hyperlink display="Ir para: Painel | Resumo" location="Painel!A1" ref="A3"/>
    <hyperlink display="Resumo" location="Resumo!A1" ref="C3"/>
  </hyperlink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57"/>
    <col customWidth="1" min="2" max="2" width="47.29"/>
    <col customWidth="1" min="3" max="3" width="30.0"/>
    <col customWidth="1" min="4" max="5" width="31.86"/>
    <col customWidth="1" min="6" max="6" width="21.71"/>
    <col customWidth="1" min="7" max="7" width="34.86"/>
    <col customWidth="1" min="8" max="8" width="9.86"/>
    <col customWidth="1" min="9" max="9" width="16.57"/>
    <col customWidth="1" min="10" max="10" width="21.14"/>
    <col customWidth="1" min="11" max="11" width="16.57"/>
    <col customWidth="1" min="12" max="26" width="8.71"/>
  </cols>
  <sheetData>
    <row r="1" ht="14.25" customHeight="1">
      <c r="A1" s="7"/>
      <c r="B1" s="7"/>
      <c r="C1" s="7"/>
      <c r="D1" s="7"/>
      <c r="E1" s="7"/>
      <c r="F1" s="7"/>
      <c r="G1" s="7"/>
      <c r="H1" s="7"/>
      <c r="I1" s="7"/>
      <c r="J1" s="7"/>
      <c r="K1" s="7"/>
      <c r="L1" s="7"/>
      <c r="M1" s="7"/>
      <c r="N1" s="7"/>
      <c r="O1" s="7"/>
      <c r="P1" s="7"/>
      <c r="Q1" s="7"/>
      <c r="R1" s="7"/>
      <c r="S1" s="7"/>
      <c r="T1" s="7"/>
      <c r="U1" s="7"/>
      <c r="V1" s="7"/>
      <c r="W1" s="7"/>
      <c r="X1" s="7"/>
      <c r="Y1" s="7"/>
      <c r="Z1" s="7"/>
    </row>
    <row r="2" ht="14.25" customHeight="1">
      <c r="A2" s="35" t="s">
        <v>3</v>
      </c>
      <c r="B2" s="35" t="s">
        <v>4</v>
      </c>
      <c r="C2" s="35" t="s">
        <v>5</v>
      </c>
      <c r="D2" s="35" t="s">
        <v>6</v>
      </c>
      <c r="E2" s="35" t="s">
        <v>7</v>
      </c>
      <c r="F2" s="35" t="s">
        <v>8</v>
      </c>
      <c r="G2" s="35" t="s">
        <v>9</v>
      </c>
      <c r="H2" s="35" t="s">
        <v>10</v>
      </c>
      <c r="I2" s="35" t="s">
        <v>11</v>
      </c>
      <c r="J2" s="35" t="s">
        <v>12</v>
      </c>
      <c r="K2" s="35" t="s">
        <v>14</v>
      </c>
      <c r="L2" s="7"/>
      <c r="M2" s="7"/>
      <c r="N2" s="7"/>
      <c r="O2" s="7"/>
      <c r="P2" s="7"/>
      <c r="Q2" s="7"/>
      <c r="R2" s="7"/>
      <c r="S2" s="7"/>
      <c r="T2" s="7"/>
      <c r="U2" s="7"/>
      <c r="V2" s="7"/>
      <c r="W2" s="7"/>
      <c r="X2" s="7"/>
      <c r="Y2" s="7"/>
      <c r="Z2" s="7"/>
    </row>
    <row r="3" ht="14.25" customHeight="1">
      <c r="A3" s="36">
        <v>1.0</v>
      </c>
      <c r="B3" s="36" t="s">
        <v>15</v>
      </c>
      <c r="C3" s="36" t="s">
        <v>16</v>
      </c>
      <c r="D3" s="36" t="s">
        <v>17</v>
      </c>
      <c r="E3" s="36" t="s">
        <v>18</v>
      </c>
      <c r="F3" s="36" t="s">
        <v>19</v>
      </c>
      <c r="G3" s="36" t="s">
        <v>20</v>
      </c>
      <c r="H3" s="36" t="s">
        <v>21</v>
      </c>
      <c r="I3" s="36" t="s">
        <v>22</v>
      </c>
      <c r="J3" s="36" t="s">
        <v>23</v>
      </c>
      <c r="K3" s="36"/>
      <c r="L3" s="7"/>
      <c r="M3" s="7"/>
      <c r="N3" s="7"/>
      <c r="O3" s="7"/>
      <c r="P3" s="7"/>
      <c r="Q3" s="7"/>
      <c r="R3" s="7"/>
      <c r="S3" s="7"/>
      <c r="T3" s="7"/>
      <c r="U3" s="7"/>
      <c r="V3" s="7"/>
      <c r="W3" s="7"/>
      <c r="X3" s="7"/>
      <c r="Y3" s="7"/>
      <c r="Z3" s="7"/>
    </row>
    <row r="4" ht="14.25" customHeight="1">
      <c r="A4" s="36">
        <v>2.0</v>
      </c>
      <c r="B4" s="36" t="s">
        <v>25</v>
      </c>
      <c r="C4" s="36" t="s">
        <v>26</v>
      </c>
      <c r="D4" s="36" t="s">
        <v>27</v>
      </c>
      <c r="E4" s="36" t="s">
        <v>28</v>
      </c>
      <c r="F4" s="36" t="s">
        <v>19</v>
      </c>
      <c r="G4" s="36" t="s">
        <v>29</v>
      </c>
      <c r="H4" s="36" t="s">
        <v>21</v>
      </c>
      <c r="I4" s="36" t="s">
        <v>22</v>
      </c>
      <c r="J4" s="36" t="s">
        <v>23</v>
      </c>
      <c r="K4" s="36"/>
      <c r="L4" s="7"/>
      <c r="M4" s="7"/>
      <c r="N4" s="7"/>
      <c r="O4" s="7"/>
      <c r="P4" s="7"/>
      <c r="Q4" s="7"/>
      <c r="R4" s="7"/>
      <c r="S4" s="7"/>
      <c r="T4" s="7"/>
      <c r="U4" s="7"/>
      <c r="V4" s="7"/>
      <c r="W4" s="7"/>
      <c r="X4" s="7"/>
      <c r="Y4" s="7"/>
      <c r="Z4" s="7"/>
    </row>
    <row r="5" ht="14.25" customHeight="1">
      <c r="A5" s="36">
        <v>3.0</v>
      </c>
      <c r="B5" s="36" t="s">
        <v>31</v>
      </c>
      <c r="C5" s="36" t="s">
        <v>32</v>
      </c>
      <c r="D5" s="36" t="s">
        <v>33</v>
      </c>
      <c r="E5" s="36" t="s">
        <v>34</v>
      </c>
      <c r="F5" s="36" t="s">
        <v>19</v>
      </c>
      <c r="G5" s="36" t="s">
        <v>35</v>
      </c>
      <c r="H5" s="36" t="s">
        <v>21</v>
      </c>
      <c r="I5" s="36" t="s">
        <v>22</v>
      </c>
      <c r="J5" s="36" t="s">
        <v>23</v>
      </c>
      <c r="K5" s="36"/>
      <c r="L5" s="7"/>
      <c r="M5" s="7"/>
      <c r="N5" s="7"/>
      <c r="O5" s="7"/>
      <c r="P5" s="7"/>
      <c r="Q5" s="7"/>
      <c r="R5" s="7"/>
      <c r="S5" s="7"/>
      <c r="T5" s="7"/>
      <c r="U5" s="7"/>
      <c r="V5" s="7"/>
      <c r="W5" s="7"/>
      <c r="X5" s="7"/>
      <c r="Y5" s="7"/>
      <c r="Z5" s="7"/>
    </row>
    <row r="6" ht="14.25" customHeight="1">
      <c r="A6" s="36">
        <v>6.0</v>
      </c>
      <c r="B6" s="36" t="s">
        <v>50</v>
      </c>
      <c r="C6" s="36" t="s">
        <v>51</v>
      </c>
      <c r="D6" s="36" t="s">
        <v>52</v>
      </c>
      <c r="E6" s="36" t="s">
        <v>53</v>
      </c>
      <c r="F6" s="36" t="s">
        <v>54</v>
      </c>
      <c r="G6" s="36" t="s">
        <v>35</v>
      </c>
      <c r="H6" s="36" t="s">
        <v>49</v>
      </c>
      <c r="I6" s="36">
        <v>46371.0</v>
      </c>
      <c r="J6" s="36" t="s">
        <v>23</v>
      </c>
      <c r="K6" s="36"/>
      <c r="L6" s="7"/>
      <c r="M6" s="7"/>
      <c r="N6" s="7"/>
      <c r="O6" s="7"/>
      <c r="P6" s="7"/>
      <c r="Q6" s="7"/>
      <c r="R6" s="7"/>
      <c r="S6" s="7"/>
      <c r="T6" s="7"/>
      <c r="U6" s="7"/>
      <c r="V6" s="7"/>
      <c r="W6" s="7"/>
      <c r="X6" s="7"/>
      <c r="Y6" s="7"/>
      <c r="Z6" s="7"/>
    </row>
    <row r="7" ht="14.25" customHeight="1">
      <c r="A7" s="36">
        <v>9.0</v>
      </c>
      <c r="B7" s="36" t="s">
        <v>67</v>
      </c>
      <c r="C7" s="36" t="s">
        <v>68</v>
      </c>
      <c r="D7" s="36" t="s">
        <v>69</v>
      </c>
      <c r="E7" s="36" t="s">
        <v>70</v>
      </c>
      <c r="F7" s="36" t="s">
        <v>71</v>
      </c>
      <c r="G7" s="36" t="s">
        <v>48</v>
      </c>
      <c r="H7" s="36" t="s">
        <v>21</v>
      </c>
      <c r="I7" s="36" t="s">
        <v>22</v>
      </c>
      <c r="J7" s="36" t="s">
        <v>60</v>
      </c>
      <c r="K7" s="36"/>
      <c r="L7" s="7"/>
      <c r="M7" s="7"/>
      <c r="N7" s="7"/>
      <c r="O7" s="7"/>
      <c r="P7" s="7"/>
      <c r="Q7" s="7"/>
      <c r="R7" s="7"/>
      <c r="S7" s="7"/>
      <c r="T7" s="7"/>
      <c r="U7" s="7"/>
      <c r="V7" s="7"/>
      <c r="W7" s="7"/>
      <c r="X7" s="7"/>
      <c r="Y7" s="7"/>
      <c r="Z7" s="7"/>
    </row>
    <row r="8" ht="14.25" customHeight="1">
      <c r="A8" s="36">
        <v>10.0</v>
      </c>
      <c r="B8" s="36" t="s">
        <v>176</v>
      </c>
      <c r="C8" s="36" t="s">
        <v>73</v>
      </c>
      <c r="D8" s="36" t="s">
        <v>74</v>
      </c>
      <c r="E8" s="36" t="s">
        <v>75</v>
      </c>
      <c r="F8" s="36" t="s">
        <v>71</v>
      </c>
      <c r="G8" s="36" t="s">
        <v>48</v>
      </c>
      <c r="H8" s="36" t="s">
        <v>49</v>
      </c>
      <c r="I8" s="36">
        <v>46173.0</v>
      </c>
      <c r="J8" s="36" t="s">
        <v>23</v>
      </c>
      <c r="K8" s="36"/>
      <c r="L8" s="7"/>
      <c r="M8" s="7"/>
      <c r="N8" s="7"/>
      <c r="O8" s="7"/>
      <c r="P8" s="7"/>
      <c r="Q8" s="7"/>
      <c r="R8" s="7"/>
      <c r="S8" s="7"/>
      <c r="T8" s="7"/>
      <c r="U8" s="7"/>
      <c r="V8" s="7"/>
      <c r="W8" s="7"/>
      <c r="X8" s="7"/>
      <c r="Y8" s="7"/>
      <c r="Z8" s="7"/>
    </row>
    <row r="9" ht="14.25" customHeight="1">
      <c r="A9" s="36">
        <v>11.0</v>
      </c>
      <c r="B9" s="36" t="s">
        <v>76</v>
      </c>
      <c r="C9" s="36" t="s">
        <v>77</v>
      </c>
      <c r="D9" s="36" t="s">
        <v>78</v>
      </c>
      <c r="E9" s="36" t="s">
        <v>79</v>
      </c>
      <c r="F9" s="36" t="s">
        <v>54</v>
      </c>
      <c r="G9" s="36" t="s">
        <v>35</v>
      </c>
      <c r="H9" s="36" t="s">
        <v>49</v>
      </c>
      <c r="I9" s="36">
        <v>46173.0</v>
      </c>
      <c r="J9" s="36" t="s">
        <v>60</v>
      </c>
      <c r="K9" s="36" t="s">
        <v>66</v>
      </c>
      <c r="L9" s="7"/>
      <c r="M9" s="7"/>
      <c r="N9" s="7"/>
      <c r="O9" s="7"/>
      <c r="P9" s="7"/>
      <c r="Q9" s="7"/>
      <c r="R9" s="7"/>
      <c r="S9" s="7"/>
      <c r="T9" s="7"/>
      <c r="U9" s="7"/>
      <c r="V9" s="7"/>
      <c r="W9" s="7"/>
      <c r="X9" s="7"/>
      <c r="Y9" s="7"/>
      <c r="Z9" s="7"/>
    </row>
    <row r="10" ht="14.25" customHeight="1">
      <c r="A10" s="36">
        <v>13.0</v>
      </c>
      <c r="B10" s="36" t="s">
        <v>84</v>
      </c>
      <c r="C10" s="36" t="s">
        <v>85</v>
      </c>
      <c r="D10" s="36" t="s">
        <v>86</v>
      </c>
      <c r="E10" s="36" t="s">
        <v>87</v>
      </c>
      <c r="F10" s="36" t="s">
        <v>54</v>
      </c>
      <c r="G10" s="36" t="s">
        <v>35</v>
      </c>
      <c r="H10" s="36" t="s">
        <v>49</v>
      </c>
      <c r="I10" s="36">
        <v>46363.0</v>
      </c>
      <c r="J10" s="36" t="s">
        <v>65</v>
      </c>
      <c r="K10" s="36"/>
      <c r="L10" s="7"/>
      <c r="M10" s="7"/>
      <c r="N10" s="7"/>
      <c r="O10" s="7"/>
      <c r="P10" s="7"/>
      <c r="Q10" s="7"/>
      <c r="R10" s="7"/>
      <c r="S10" s="7"/>
      <c r="T10" s="7"/>
      <c r="U10" s="7"/>
      <c r="V10" s="7"/>
      <c r="W10" s="7"/>
      <c r="X10" s="7"/>
      <c r="Y10" s="7"/>
      <c r="Z10" s="7"/>
    </row>
    <row r="11" ht="14.25" customHeight="1">
      <c r="A11" s="36">
        <v>14.0</v>
      </c>
      <c r="B11" s="36" t="s">
        <v>88</v>
      </c>
      <c r="C11" s="36" t="s">
        <v>89</v>
      </c>
      <c r="D11" s="36" t="s">
        <v>90</v>
      </c>
      <c r="E11" s="36" t="s">
        <v>91</v>
      </c>
      <c r="F11" s="36" t="s">
        <v>54</v>
      </c>
      <c r="G11" s="36" t="s">
        <v>92</v>
      </c>
      <c r="H11" s="36" t="s">
        <v>49</v>
      </c>
      <c r="I11" s="36">
        <v>46173.0</v>
      </c>
      <c r="J11" s="36" t="s">
        <v>65</v>
      </c>
      <c r="K11" s="36"/>
      <c r="L11" s="7"/>
      <c r="M11" s="7"/>
      <c r="N11" s="7"/>
      <c r="O11" s="7"/>
      <c r="P11" s="7"/>
      <c r="Q11" s="7"/>
      <c r="R11" s="7"/>
      <c r="S11" s="7"/>
      <c r="T11" s="7"/>
      <c r="U11" s="7"/>
      <c r="V11" s="7"/>
      <c r="W11" s="7"/>
      <c r="X11" s="7"/>
      <c r="Y11" s="7"/>
      <c r="Z11" s="7"/>
    </row>
    <row r="12" ht="14.25" customHeight="1">
      <c r="A12" s="36">
        <v>20.0</v>
      </c>
      <c r="B12" s="36" t="s">
        <v>120</v>
      </c>
      <c r="C12" s="36" t="s">
        <v>121</v>
      </c>
      <c r="D12" s="36" t="s">
        <v>122</v>
      </c>
      <c r="E12" s="36" t="s">
        <v>123</v>
      </c>
      <c r="F12" s="36" t="s">
        <v>54</v>
      </c>
      <c r="G12" s="36" t="s">
        <v>115</v>
      </c>
      <c r="H12" s="36" t="s">
        <v>49</v>
      </c>
      <c r="I12" s="36" t="s">
        <v>124</v>
      </c>
      <c r="J12" s="36" t="s">
        <v>23</v>
      </c>
      <c r="K12" s="36"/>
      <c r="L12" s="7"/>
      <c r="M12" s="7"/>
      <c r="N12" s="7"/>
      <c r="O12" s="7"/>
      <c r="P12" s="7"/>
      <c r="Q12" s="7"/>
      <c r="R12" s="7"/>
      <c r="S12" s="7"/>
      <c r="T12" s="7"/>
      <c r="U12" s="7"/>
      <c r="V12" s="7"/>
      <c r="W12" s="7"/>
      <c r="X12" s="7"/>
      <c r="Y12" s="7"/>
      <c r="Z12" s="7"/>
    </row>
    <row r="13" ht="14.25" customHeight="1">
      <c r="A13" s="36">
        <v>23.0</v>
      </c>
      <c r="B13" s="36" t="s">
        <v>132</v>
      </c>
      <c r="C13" s="36" t="s">
        <v>133</v>
      </c>
      <c r="D13" s="36" t="s">
        <v>134</v>
      </c>
      <c r="E13" s="36" t="s">
        <v>135</v>
      </c>
      <c r="F13" s="36" t="s">
        <v>54</v>
      </c>
      <c r="G13" s="36" t="s">
        <v>114</v>
      </c>
      <c r="H13" s="36" t="s">
        <v>49</v>
      </c>
      <c r="I13" s="36">
        <v>46146.0</v>
      </c>
      <c r="J13" s="36" t="s">
        <v>23</v>
      </c>
      <c r="K13" s="36"/>
      <c r="L13" s="7"/>
      <c r="M13" s="7"/>
      <c r="N13" s="7"/>
      <c r="O13" s="7"/>
      <c r="P13" s="7"/>
      <c r="Q13" s="7"/>
      <c r="R13" s="7"/>
      <c r="S13" s="7"/>
      <c r="T13" s="7"/>
      <c r="U13" s="7"/>
      <c r="V13" s="7"/>
      <c r="W13" s="7"/>
      <c r="X13" s="7"/>
      <c r="Y13" s="7"/>
      <c r="Z13" s="7"/>
    </row>
    <row r="14" ht="14.25" customHeight="1">
      <c r="A14" s="36">
        <v>24.0</v>
      </c>
      <c r="B14" s="36" t="s">
        <v>137</v>
      </c>
      <c r="C14" s="36" t="s">
        <v>138</v>
      </c>
      <c r="D14" s="36" t="s">
        <v>139</v>
      </c>
      <c r="E14" s="36" t="s">
        <v>139</v>
      </c>
      <c r="F14" s="36" t="s">
        <v>54</v>
      </c>
      <c r="G14" s="36" t="s">
        <v>140</v>
      </c>
      <c r="H14" s="36" t="s">
        <v>49</v>
      </c>
      <c r="I14" s="36" t="s">
        <v>124</v>
      </c>
      <c r="J14" s="36" t="s">
        <v>23</v>
      </c>
      <c r="K14" s="36"/>
      <c r="L14" s="7"/>
      <c r="M14" s="7"/>
      <c r="N14" s="7"/>
      <c r="O14" s="7"/>
      <c r="P14" s="7"/>
      <c r="Q14" s="7"/>
      <c r="R14" s="7"/>
      <c r="S14" s="7"/>
      <c r="T14" s="7"/>
      <c r="U14" s="7"/>
      <c r="V14" s="7"/>
      <c r="W14" s="7"/>
      <c r="X14" s="7"/>
      <c r="Y14" s="7"/>
      <c r="Z14" s="7"/>
    </row>
    <row r="15" ht="14.25" customHeight="1">
      <c r="A15" s="36">
        <v>25.0</v>
      </c>
      <c r="B15" s="36" t="s">
        <v>143</v>
      </c>
      <c r="C15" s="36" t="s">
        <v>143</v>
      </c>
      <c r="D15" s="36" t="s">
        <v>144</v>
      </c>
      <c r="E15" s="36" t="s">
        <v>145</v>
      </c>
      <c r="F15" s="36" t="s">
        <v>54</v>
      </c>
      <c r="G15" s="36" t="s">
        <v>48</v>
      </c>
      <c r="H15" s="36" t="s">
        <v>49</v>
      </c>
      <c r="I15" s="36">
        <v>46122.0</v>
      </c>
      <c r="J15" s="36" t="s">
        <v>23</v>
      </c>
      <c r="K15" s="36"/>
      <c r="L15" s="7"/>
      <c r="M15" s="7"/>
      <c r="N15" s="7"/>
      <c r="O15" s="7"/>
      <c r="P15" s="7"/>
      <c r="Q15" s="7"/>
      <c r="R15" s="7"/>
      <c r="S15" s="7"/>
      <c r="T15" s="7"/>
      <c r="U15" s="7"/>
      <c r="V15" s="7"/>
      <c r="W15" s="7"/>
      <c r="X15" s="7"/>
      <c r="Y15" s="7"/>
      <c r="Z15" s="7"/>
    </row>
    <row r="16" ht="14.25" customHeight="1">
      <c r="A16" s="36">
        <v>26.0</v>
      </c>
      <c r="B16" s="36" t="s">
        <v>177</v>
      </c>
      <c r="C16" s="36" t="s">
        <v>149</v>
      </c>
      <c r="D16" s="36" t="s">
        <v>150</v>
      </c>
      <c r="E16" s="36" t="s">
        <v>151</v>
      </c>
      <c r="F16" s="36" t="s">
        <v>54</v>
      </c>
      <c r="G16" s="36" t="s">
        <v>48</v>
      </c>
      <c r="H16" s="36" t="s">
        <v>49</v>
      </c>
      <c r="I16" s="36" t="s">
        <v>124</v>
      </c>
      <c r="J16" s="36" t="s">
        <v>23</v>
      </c>
      <c r="K16" s="36" t="s">
        <v>153</v>
      </c>
      <c r="L16" s="7"/>
      <c r="M16" s="7"/>
      <c r="N16" s="7"/>
      <c r="O16" s="7"/>
      <c r="P16" s="7"/>
      <c r="Q16" s="7"/>
      <c r="R16" s="7"/>
      <c r="S16" s="7"/>
      <c r="T16" s="7"/>
      <c r="U16" s="7"/>
      <c r="V16" s="7"/>
      <c r="W16" s="7"/>
      <c r="X16" s="7"/>
      <c r="Y16" s="7"/>
      <c r="Z16" s="7"/>
    </row>
    <row r="17" ht="14.25" customHeight="1">
      <c r="A17" s="36">
        <v>27.0</v>
      </c>
      <c r="B17" s="36" t="s">
        <v>154</v>
      </c>
      <c r="C17" s="36" t="s">
        <v>155</v>
      </c>
      <c r="D17" s="36" t="s">
        <v>156</v>
      </c>
      <c r="E17" s="36" t="s">
        <v>157</v>
      </c>
      <c r="F17" s="36" t="s">
        <v>54</v>
      </c>
      <c r="G17" s="36" t="s">
        <v>158</v>
      </c>
      <c r="H17" s="36" t="s">
        <v>49</v>
      </c>
      <c r="I17" s="36" t="s">
        <v>159</v>
      </c>
      <c r="J17" s="36" t="s">
        <v>23</v>
      </c>
      <c r="K17" s="36" t="s">
        <v>160</v>
      </c>
      <c r="L17" s="37"/>
      <c r="M17" s="7"/>
      <c r="N17" s="7"/>
      <c r="O17" s="7"/>
      <c r="P17" s="7"/>
      <c r="Q17" s="7"/>
      <c r="R17" s="7"/>
      <c r="S17" s="7"/>
      <c r="T17" s="7"/>
      <c r="U17" s="7"/>
      <c r="V17" s="7"/>
      <c r="W17" s="7"/>
      <c r="X17" s="7"/>
      <c r="Y17" s="7"/>
      <c r="Z17" s="7"/>
    </row>
    <row r="18" ht="14.25" customHeight="1">
      <c r="A18" s="36">
        <v>28.0</v>
      </c>
      <c r="B18" s="36" t="s">
        <v>161</v>
      </c>
      <c r="C18" s="36" t="s">
        <v>162</v>
      </c>
      <c r="D18" s="36" t="s">
        <v>163</v>
      </c>
      <c r="E18" s="36" t="s">
        <v>164</v>
      </c>
      <c r="F18" s="36" t="s">
        <v>54</v>
      </c>
      <c r="G18" s="36" t="s">
        <v>165</v>
      </c>
      <c r="H18" s="36" t="s">
        <v>49</v>
      </c>
      <c r="I18" s="36" t="s">
        <v>159</v>
      </c>
      <c r="J18" s="36" t="s">
        <v>23</v>
      </c>
      <c r="K18" s="36" t="s">
        <v>166</v>
      </c>
      <c r="L18" s="37"/>
      <c r="M18" s="7"/>
      <c r="N18" s="7"/>
      <c r="O18" s="7"/>
      <c r="P18" s="7"/>
      <c r="Q18" s="7"/>
      <c r="R18" s="7"/>
      <c r="S18" s="7"/>
      <c r="T18" s="7"/>
      <c r="U18" s="7"/>
      <c r="V18" s="7"/>
      <c r="W18" s="7"/>
      <c r="X18" s="7"/>
      <c r="Y18" s="7"/>
      <c r="Z18" s="7"/>
    </row>
    <row r="19" ht="58.5" customHeight="1">
      <c r="A19" s="36">
        <v>29.0</v>
      </c>
      <c r="B19" s="36" t="s">
        <v>167</v>
      </c>
      <c r="C19" s="36" t="s">
        <v>168</v>
      </c>
      <c r="D19" s="36" t="s">
        <v>169</v>
      </c>
      <c r="E19" s="36" t="s">
        <v>170</v>
      </c>
      <c r="F19" s="36" t="s">
        <v>54</v>
      </c>
      <c r="G19" s="36" t="s">
        <v>158</v>
      </c>
      <c r="H19" s="36" t="s">
        <v>49</v>
      </c>
      <c r="I19" s="36" t="s">
        <v>159</v>
      </c>
      <c r="J19" s="36" t="s">
        <v>23</v>
      </c>
      <c r="K19" s="36" t="s">
        <v>160</v>
      </c>
      <c r="L19" s="37"/>
      <c r="M19" s="7"/>
      <c r="N19" s="7"/>
      <c r="O19" s="7"/>
      <c r="P19" s="7"/>
      <c r="Q19" s="7"/>
      <c r="R19" s="7"/>
      <c r="S19" s="7"/>
      <c r="T19" s="7"/>
      <c r="U19" s="7"/>
      <c r="V19" s="7"/>
      <c r="W19" s="7"/>
      <c r="X19" s="7"/>
      <c r="Y19" s="7"/>
      <c r="Z19" s="7"/>
    </row>
    <row r="20" ht="58.5" customHeight="1">
      <c r="A20" s="38">
        <v>30.0</v>
      </c>
      <c r="B20" s="38" t="s">
        <v>171</v>
      </c>
      <c r="C20" s="39" t="s">
        <v>172</v>
      </c>
      <c r="D20" s="40" t="s">
        <v>173</v>
      </c>
      <c r="E20" s="41" t="s">
        <v>174</v>
      </c>
      <c r="F20" s="38" t="s">
        <v>175</v>
      </c>
      <c r="G20" s="38" t="s">
        <v>48</v>
      </c>
      <c r="H20" s="36" t="s">
        <v>49</v>
      </c>
      <c r="I20" s="42">
        <v>46136.0</v>
      </c>
      <c r="J20" s="38" t="s">
        <v>23</v>
      </c>
      <c r="K20" s="36" t="s">
        <v>36</v>
      </c>
      <c r="L20" s="43"/>
    </row>
    <row r="21" ht="14.2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4.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4.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4.2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4.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4.2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4.2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4.2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4.2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4.2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4.2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4.2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4.2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4.2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4.2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4.2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4.2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4.2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4.2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4.2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4.2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4.2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4.2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4.2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4.2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4.2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4.2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4.2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4.2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4.2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4.2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4.2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4.2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4.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4.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4.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4.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4.2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sheetData>
  <conditionalFormatting sqref="F3:F16 F20">
    <cfRule type="expression" dxfId="1" priority="1">
      <formula>ISNUMBER(SEARCH("Conclu",F3))</formula>
    </cfRule>
  </conditionalFormatting>
  <conditionalFormatting sqref="F3:F16 F20">
    <cfRule type="expression" dxfId="2" priority="2">
      <formula>ISNUMBER(SEARCH("Pendente",F3))</formula>
    </cfRule>
  </conditionalFormatting>
  <conditionalFormatting sqref="F3:F16 F20">
    <cfRule type="expression" dxfId="3" priority="3">
      <formula>ISNUMBER(SEARCH("Em",F3))</formula>
    </cfRule>
  </conditionalFormatting>
  <conditionalFormatting sqref="F3:F16 F20">
    <cfRule type="expression" dxfId="3" priority="4">
      <formula>ISNUMBER(SEARCH("Manuten",F3))</formula>
    </cfRule>
  </conditionalFormatting>
  <conditionalFormatting sqref="F3:F16 F20">
    <cfRule type="expression" dxfId="3" priority="5">
      <formula>ISNUMBER(SEARCH("Desenvol",F3))</formula>
    </cfRule>
  </conditionalFormatting>
  <conditionalFormatting sqref="F3:F16 F20">
    <cfRule type="expression" dxfId="4" priority="6">
      <formula>ISNUMBER(SEARCH("Estudo",F3))</formula>
    </cfRule>
  </conditionalFormatting>
  <conditionalFormatting sqref="F3:F16 F20">
    <cfRule type="expression" dxfId="4" priority="7">
      <formula>ISNUMBER(SEARCH("Monitor",F3))</formula>
    </cfRule>
  </conditionalFormatting>
  <conditionalFormatting sqref="J3:J16 J20:K20">
    <cfRule type="expression" dxfId="5" priority="8">
      <formula>ISNUMBER(SEARCH("Nível 4",J3))</formula>
    </cfRule>
  </conditionalFormatting>
  <conditionalFormatting sqref="J3:J16 J20:K20">
    <cfRule type="expression" dxfId="6" priority="9">
      <formula>ISNUMBER(SEARCH("Nível 3",J3))</formula>
    </cfRule>
  </conditionalFormatting>
  <conditionalFormatting sqref="J3:J16 J20:K20">
    <cfRule type="expression" dxfId="7" priority="10">
      <formula>ISNUMBER(SEARCH("Nível 2",J3))</formula>
    </cfRule>
  </conditionalFormatting>
  <conditionalFormatting sqref="J3:J16 J20:K20">
    <cfRule type="expression" dxfId="8" priority="11">
      <formula>ISNUMBER(SEARCH("Nível 1",J3))</formula>
    </cfRule>
  </conditionalFormatting>
  <dataValidations>
    <dataValidation type="list" allowBlank="1" sqref="J3:J16 J17:K20">
      <formula1>Listas!$B$2:$B$5</formula1>
    </dataValidation>
    <dataValidation type="list" allowBlank="1" sqref="F3:F20">
      <formula1>Listas!$A$2:$A$10</formula1>
    </dataValidation>
  </dataValidations>
  <printOptions/>
  <pageMargins bottom="0.787401575" footer="0.0" header="0.0" left="0.511811024" right="0.511811024"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hidden="1" min="1" max="2" width="8.71"/>
    <col customWidth="1" min="3" max="3" width="8.71"/>
    <col customWidth="1" min="4" max="4" width="8.29"/>
    <col customWidth="1" min="5" max="6" width="47.29"/>
    <col customWidth="1" min="7" max="7" width="18.57"/>
    <col customWidth="1" min="8" max="8" width="50.71"/>
    <col customWidth="1" min="9" max="9" width="13.14"/>
    <col customWidth="1" min="10" max="10" width="34.86"/>
    <col customWidth="1" min="11" max="11" width="9.86"/>
    <col customWidth="1" min="12" max="12" width="12.57"/>
    <col customWidth="1" min="13" max="13" width="18.0"/>
    <col customWidth="1" min="14" max="14" width="16.71"/>
    <col customWidth="1" min="15" max="26" width="8.71"/>
  </cols>
  <sheetData>
    <row r="1" ht="14.25" customHeight="1">
      <c r="A1" s="7"/>
      <c r="B1" s="7"/>
      <c r="C1" s="7"/>
      <c r="D1" s="7"/>
      <c r="E1" s="7"/>
      <c r="F1" s="7"/>
      <c r="G1" s="7"/>
      <c r="H1" s="7"/>
      <c r="I1" s="7"/>
      <c r="J1" s="7"/>
      <c r="K1" s="7"/>
      <c r="L1" s="7"/>
      <c r="M1" s="7"/>
      <c r="N1" s="7"/>
      <c r="O1" s="7"/>
      <c r="P1" s="7"/>
      <c r="Q1" s="7"/>
      <c r="R1" s="7"/>
      <c r="S1" s="7"/>
      <c r="T1" s="7"/>
      <c r="U1" s="7"/>
      <c r="V1" s="7"/>
      <c r="W1" s="7"/>
      <c r="X1" s="7"/>
      <c r="Y1" s="7"/>
      <c r="Z1" s="7"/>
    </row>
    <row r="2" ht="14.25" customHeight="1">
      <c r="A2" s="7"/>
      <c r="B2" s="7"/>
      <c r="C2" s="7"/>
      <c r="D2" s="35" t="s">
        <v>3</v>
      </c>
      <c r="E2" s="35" t="s">
        <v>4</v>
      </c>
      <c r="F2" s="35" t="s">
        <v>5</v>
      </c>
      <c r="G2" s="35" t="s">
        <v>6</v>
      </c>
      <c r="H2" s="35" t="s">
        <v>7</v>
      </c>
      <c r="I2" s="35" t="s">
        <v>8</v>
      </c>
      <c r="J2" s="35" t="s">
        <v>9</v>
      </c>
      <c r="K2" s="35" t="s">
        <v>10</v>
      </c>
      <c r="L2" s="35" t="s">
        <v>11</v>
      </c>
      <c r="M2" s="35" t="s">
        <v>12</v>
      </c>
      <c r="N2" s="35" t="s">
        <v>14</v>
      </c>
      <c r="O2" s="7"/>
      <c r="P2" s="7"/>
      <c r="Q2" s="7"/>
      <c r="R2" s="7"/>
      <c r="S2" s="7"/>
      <c r="T2" s="7"/>
      <c r="U2" s="7"/>
      <c r="V2" s="7"/>
      <c r="W2" s="7"/>
      <c r="X2" s="7"/>
      <c r="Y2" s="7"/>
      <c r="Z2" s="7"/>
    </row>
    <row r="3" ht="14.25" customHeight="1">
      <c r="A3" s="7"/>
      <c r="B3" s="7"/>
      <c r="C3" s="7"/>
      <c r="D3" s="36">
        <v>4.0</v>
      </c>
      <c r="E3" s="36" t="s">
        <v>37</v>
      </c>
      <c r="F3" s="36" t="s">
        <v>38</v>
      </c>
      <c r="G3" s="36" t="s">
        <v>39</v>
      </c>
      <c r="H3" s="36" t="s">
        <v>40</v>
      </c>
      <c r="I3" s="36" t="s">
        <v>41</v>
      </c>
      <c r="J3" s="36" t="s">
        <v>42</v>
      </c>
      <c r="K3" s="36" t="s">
        <v>21</v>
      </c>
      <c r="L3" s="36" t="s">
        <v>22</v>
      </c>
      <c r="M3" s="36" t="s">
        <v>23</v>
      </c>
      <c r="N3" s="36"/>
      <c r="O3" s="7"/>
      <c r="P3" s="7"/>
      <c r="Q3" s="7"/>
      <c r="R3" s="7"/>
      <c r="S3" s="7"/>
      <c r="T3" s="7"/>
      <c r="U3" s="7"/>
      <c r="V3" s="7"/>
      <c r="W3" s="7"/>
      <c r="X3" s="7"/>
      <c r="Y3" s="7"/>
      <c r="Z3" s="7"/>
    </row>
    <row r="4" ht="14.25" customHeight="1">
      <c r="A4" s="7"/>
      <c r="B4" s="7"/>
      <c r="C4" s="7"/>
      <c r="D4" s="36">
        <v>5.0</v>
      </c>
      <c r="E4" s="36" t="s">
        <v>44</v>
      </c>
      <c r="F4" s="36" t="s">
        <v>45</v>
      </c>
      <c r="G4" s="36" t="s">
        <v>46</v>
      </c>
      <c r="H4" s="36" t="s">
        <v>47</v>
      </c>
      <c r="I4" s="36" t="s">
        <v>41</v>
      </c>
      <c r="J4" s="36" t="s">
        <v>48</v>
      </c>
      <c r="K4" s="36" t="s">
        <v>49</v>
      </c>
      <c r="L4" s="36" t="s">
        <v>41</v>
      </c>
      <c r="M4" s="36" t="s">
        <v>23</v>
      </c>
      <c r="N4" s="36"/>
      <c r="O4" s="7"/>
      <c r="P4" s="7"/>
      <c r="Q4" s="7"/>
      <c r="R4" s="7"/>
      <c r="S4" s="7"/>
      <c r="T4" s="7"/>
      <c r="U4" s="7"/>
      <c r="V4" s="7"/>
      <c r="W4" s="7"/>
      <c r="X4" s="7"/>
      <c r="Y4" s="7"/>
      <c r="Z4" s="7"/>
    </row>
    <row r="5" ht="14.25" customHeight="1">
      <c r="A5" s="7"/>
      <c r="B5" s="7"/>
      <c r="C5" s="7"/>
      <c r="D5" s="36">
        <v>7.0</v>
      </c>
      <c r="E5" s="36" t="s">
        <v>55</v>
      </c>
      <c r="F5" s="36" t="s">
        <v>56</v>
      </c>
      <c r="G5" s="36" t="s">
        <v>57</v>
      </c>
      <c r="H5" s="36" t="s">
        <v>58</v>
      </c>
      <c r="I5" s="36" t="s">
        <v>41</v>
      </c>
      <c r="J5" s="36" t="s">
        <v>59</v>
      </c>
      <c r="K5" s="36" t="s">
        <v>49</v>
      </c>
      <c r="L5" s="36" t="s">
        <v>41</v>
      </c>
      <c r="M5" s="36" t="s">
        <v>60</v>
      </c>
      <c r="N5" s="36"/>
      <c r="O5" s="7"/>
      <c r="P5" s="7"/>
      <c r="Q5" s="7"/>
      <c r="R5" s="7"/>
      <c r="S5" s="7"/>
      <c r="T5" s="7"/>
      <c r="U5" s="7"/>
      <c r="V5" s="7"/>
      <c r="W5" s="7"/>
      <c r="X5" s="7"/>
      <c r="Y5" s="7"/>
      <c r="Z5" s="7"/>
    </row>
    <row r="6" ht="14.25" customHeight="1">
      <c r="A6" s="7"/>
      <c r="B6" s="7"/>
      <c r="C6" s="7"/>
      <c r="D6" s="36">
        <v>8.0</v>
      </c>
      <c r="E6" s="36" t="s">
        <v>61</v>
      </c>
      <c r="F6" s="36" t="s">
        <v>62</v>
      </c>
      <c r="G6" s="36" t="s">
        <v>63</v>
      </c>
      <c r="H6" s="36" t="s">
        <v>64</v>
      </c>
      <c r="I6" s="36" t="s">
        <v>41</v>
      </c>
      <c r="J6" s="36" t="s">
        <v>59</v>
      </c>
      <c r="K6" s="36" t="s">
        <v>49</v>
      </c>
      <c r="L6" s="36" t="s">
        <v>41</v>
      </c>
      <c r="M6" s="36" t="s">
        <v>65</v>
      </c>
      <c r="N6" s="36" t="s">
        <v>66</v>
      </c>
      <c r="O6" s="7"/>
      <c r="P6" s="7"/>
      <c r="Q6" s="7"/>
      <c r="R6" s="7"/>
      <c r="S6" s="7"/>
      <c r="T6" s="7"/>
      <c r="U6" s="7"/>
      <c r="V6" s="7"/>
      <c r="W6" s="7"/>
      <c r="X6" s="7"/>
      <c r="Y6" s="7"/>
      <c r="Z6" s="7"/>
    </row>
    <row r="7" ht="14.25" customHeight="1">
      <c r="A7" s="7"/>
      <c r="B7" s="7"/>
      <c r="C7" s="7"/>
      <c r="D7" s="36">
        <v>12.0</v>
      </c>
      <c r="E7" s="36" t="s">
        <v>80</v>
      </c>
      <c r="F7" s="36" t="s">
        <v>81</v>
      </c>
      <c r="G7" s="36" t="s">
        <v>82</v>
      </c>
      <c r="H7" s="36" t="s">
        <v>83</v>
      </c>
      <c r="I7" s="36" t="s">
        <v>41</v>
      </c>
      <c r="J7" s="36" t="s">
        <v>35</v>
      </c>
      <c r="K7" s="36" t="s">
        <v>21</v>
      </c>
      <c r="L7" s="36" t="s">
        <v>22</v>
      </c>
      <c r="M7" s="36" t="s">
        <v>23</v>
      </c>
      <c r="N7" s="36"/>
      <c r="O7" s="7"/>
      <c r="P7" s="7"/>
      <c r="Q7" s="7"/>
      <c r="R7" s="7"/>
      <c r="S7" s="7"/>
      <c r="T7" s="7"/>
      <c r="U7" s="7"/>
      <c r="V7" s="7"/>
      <c r="W7" s="7"/>
      <c r="X7" s="7"/>
      <c r="Y7" s="7"/>
      <c r="Z7" s="7"/>
    </row>
    <row r="8" ht="14.25" customHeight="1">
      <c r="A8" s="7"/>
      <c r="B8" s="7"/>
      <c r="C8" s="7"/>
      <c r="D8" s="36">
        <v>15.0</v>
      </c>
      <c r="E8" s="36" t="s">
        <v>94</v>
      </c>
      <c r="F8" s="36" t="s">
        <v>95</v>
      </c>
      <c r="G8" s="36" t="s">
        <v>96</v>
      </c>
      <c r="H8" s="36" t="s">
        <v>97</v>
      </c>
      <c r="I8" s="36" t="s">
        <v>41</v>
      </c>
      <c r="J8" s="36" t="s">
        <v>98</v>
      </c>
      <c r="K8" s="36" t="s">
        <v>49</v>
      </c>
      <c r="L8" s="36" t="s">
        <v>41</v>
      </c>
      <c r="M8" s="36" t="s">
        <v>60</v>
      </c>
      <c r="N8" s="36"/>
      <c r="O8" s="7"/>
      <c r="P8" s="7"/>
      <c r="Q8" s="7"/>
      <c r="R8" s="7"/>
      <c r="S8" s="7"/>
      <c r="T8" s="7"/>
      <c r="U8" s="7"/>
      <c r="V8" s="7"/>
      <c r="W8" s="7"/>
      <c r="X8" s="7"/>
      <c r="Y8" s="7"/>
      <c r="Z8" s="7"/>
    </row>
    <row r="9" ht="14.25" customHeight="1">
      <c r="A9" s="7"/>
      <c r="B9" s="7"/>
      <c r="C9" s="7"/>
      <c r="D9" s="36">
        <v>16.0</v>
      </c>
      <c r="E9" s="36" t="s">
        <v>100</v>
      </c>
      <c r="F9" s="36" t="s">
        <v>101</v>
      </c>
      <c r="G9" s="36" t="s">
        <v>102</v>
      </c>
      <c r="H9" s="36" t="s">
        <v>103</v>
      </c>
      <c r="I9" s="36" t="s">
        <v>41</v>
      </c>
      <c r="J9" s="36" t="s">
        <v>104</v>
      </c>
      <c r="K9" s="36" t="s">
        <v>49</v>
      </c>
      <c r="L9" s="36" t="s">
        <v>41</v>
      </c>
      <c r="M9" s="36" t="s">
        <v>60</v>
      </c>
      <c r="N9" s="36"/>
      <c r="O9" s="7"/>
      <c r="P9" s="7"/>
      <c r="Q9" s="7"/>
      <c r="R9" s="7"/>
      <c r="S9" s="7"/>
      <c r="T9" s="7"/>
      <c r="U9" s="7"/>
      <c r="V9" s="7"/>
      <c r="W9" s="7"/>
      <c r="X9" s="7"/>
      <c r="Y9" s="7"/>
      <c r="Z9" s="7"/>
    </row>
    <row r="10" ht="14.25" customHeight="1">
      <c r="A10" s="7"/>
      <c r="B10" s="7"/>
      <c r="C10" s="7"/>
      <c r="D10" s="36">
        <v>17.0</v>
      </c>
      <c r="E10" s="36" t="s">
        <v>106</v>
      </c>
      <c r="F10" s="36" t="s">
        <v>107</v>
      </c>
      <c r="G10" s="36" t="s">
        <v>108</v>
      </c>
      <c r="H10" s="36" t="s">
        <v>109</v>
      </c>
      <c r="I10" s="36" t="s">
        <v>41</v>
      </c>
      <c r="J10" s="36" t="s">
        <v>29</v>
      </c>
      <c r="K10" s="36" t="s">
        <v>49</v>
      </c>
      <c r="L10" s="36" t="s">
        <v>41</v>
      </c>
      <c r="M10" s="36" t="s">
        <v>23</v>
      </c>
      <c r="N10" s="36"/>
      <c r="O10" s="7"/>
      <c r="P10" s="7"/>
      <c r="Q10" s="7"/>
      <c r="R10" s="7"/>
      <c r="S10" s="7"/>
      <c r="T10" s="7"/>
      <c r="U10" s="7"/>
      <c r="V10" s="7"/>
      <c r="W10" s="7"/>
      <c r="X10" s="7"/>
      <c r="Y10" s="7"/>
      <c r="Z10" s="7"/>
    </row>
    <row r="11" ht="14.25" customHeight="1">
      <c r="A11" s="7"/>
      <c r="B11" s="7"/>
      <c r="C11" s="7"/>
      <c r="D11" s="36">
        <v>18.0</v>
      </c>
      <c r="E11" s="36" t="s">
        <v>111</v>
      </c>
      <c r="F11" s="36" t="s">
        <v>112</v>
      </c>
      <c r="G11" s="36" t="s">
        <v>108</v>
      </c>
      <c r="H11" s="36" t="s">
        <v>113</v>
      </c>
      <c r="I11" s="36" t="s">
        <v>41</v>
      </c>
      <c r="J11" s="36" t="s">
        <v>114</v>
      </c>
      <c r="K11" s="36" t="s">
        <v>49</v>
      </c>
      <c r="L11" s="36" t="s">
        <v>41</v>
      </c>
      <c r="M11" s="36" t="s">
        <v>60</v>
      </c>
      <c r="N11" s="36"/>
      <c r="O11" s="7"/>
      <c r="P11" s="7"/>
      <c r="Q11" s="7"/>
      <c r="R11" s="7"/>
      <c r="S11" s="7"/>
      <c r="T11" s="7"/>
      <c r="U11" s="7"/>
      <c r="V11" s="7"/>
      <c r="W11" s="7"/>
      <c r="X11" s="7"/>
      <c r="Y11" s="7"/>
      <c r="Z11" s="7"/>
    </row>
    <row r="12" ht="14.25" customHeight="1">
      <c r="A12" s="7"/>
      <c r="B12" s="7"/>
      <c r="C12" s="7"/>
      <c r="D12" s="36">
        <v>19.0</v>
      </c>
      <c r="E12" s="36" t="s">
        <v>116</v>
      </c>
      <c r="F12" s="36" t="s">
        <v>117</v>
      </c>
      <c r="G12" s="36" t="s">
        <v>118</v>
      </c>
      <c r="H12" s="36" t="s">
        <v>119</v>
      </c>
      <c r="I12" s="36" t="s">
        <v>41</v>
      </c>
      <c r="J12" s="36" t="s">
        <v>98</v>
      </c>
      <c r="K12" s="36" t="s">
        <v>49</v>
      </c>
      <c r="L12" s="36" t="s">
        <v>41</v>
      </c>
      <c r="M12" s="36" t="s">
        <v>23</v>
      </c>
      <c r="N12" s="36"/>
      <c r="O12" s="7"/>
      <c r="P12" s="7"/>
      <c r="Q12" s="7"/>
      <c r="R12" s="7"/>
      <c r="S12" s="7"/>
      <c r="T12" s="7"/>
      <c r="U12" s="7"/>
      <c r="V12" s="7"/>
      <c r="W12" s="7"/>
      <c r="X12" s="7"/>
      <c r="Y12" s="7"/>
      <c r="Z12" s="7"/>
    </row>
    <row r="13" ht="14.25" customHeight="1">
      <c r="A13" s="7"/>
      <c r="B13" s="7"/>
      <c r="C13" s="7"/>
      <c r="D13" s="36">
        <v>21.0</v>
      </c>
      <c r="E13" s="36" t="s">
        <v>125</v>
      </c>
      <c r="F13" s="36" t="s">
        <v>126</v>
      </c>
      <c r="G13" s="36" t="s">
        <v>127</v>
      </c>
      <c r="H13" s="36" t="s">
        <v>127</v>
      </c>
      <c r="I13" s="36" t="s">
        <v>41</v>
      </c>
      <c r="J13" s="36" t="s">
        <v>35</v>
      </c>
      <c r="K13" s="36" t="s">
        <v>49</v>
      </c>
      <c r="L13" s="36" t="s">
        <v>41</v>
      </c>
      <c r="M13" s="36" t="s">
        <v>23</v>
      </c>
      <c r="N13" s="36"/>
      <c r="O13" s="7"/>
      <c r="P13" s="7"/>
      <c r="Q13" s="7"/>
      <c r="R13" s="7"/>
      <c r="S13" s="7"/>
      <c r="T13" s="7"/>
      <c r="U13" s="7"/>
      <c r="V13" s="7"/>
      <c r="W13" s="7"/>
      <c r="X13" s="7"/>
      <c r="Y13" s="7"/>
      <c r="Z13" s="7"/>
    </row>
    <row r="14" ht="14.25" customHeight="1">
      <c r="A14" s="7"/>
      <c r="B14" s="7"/>
      <c r="C14" s="7"/>
      <c r="D14" s="36">
        <v>22.0</v>
      </c>
      <c r="E14" s="36" t="s">
        <v>128</v>
      </c>
      <c r="F14" s="36" t="s">
        <v>129</v>
      </c>
      <c r="G14" s="36" t="s">
        <v>130</v>
      </c>
      <c r="H14" s="36" t="s">
        <v>130</v>
      </c>
      <c r="I14" s="36" t="s">
        <v>41</v>
      </c>
      <c r="J14" s="36" t="s">
        <v>35</v>
      </c>
      <c r="K14" s="36" t="s">
        <v>49</v>
      </c>
      <c r="L14" s="36" t="s">
        <v>41</v>
      </c>
      <c r="M14" s="36" t="s">
        <v>23</v>
      </c>
      <c r="N14" s="36"/>
      <c r="O14" s="7"/>
      <c r="P14" s="7"/>
      <c r="Q14" s="7"/>
      <c r="R14" s="7"/>
      <c r="S14" s="7"/>
      <c r="T14" s="7"/>
      <c r="U14" s="7"/>
      <c r="V14" s="7"/>
      <c r="W14" s="7"/>
      <c r="X14" s="7"/>
      <c r="Y14" s="7"/>
      <c r="Z14" s="7"/>
    </row>
    <row r="15" ht="14.2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4.25" customHeight="1">
      <c r="A16" s="7"/>
      <c r="B16" s="7"/>
      <c r="C16" s="7"/>
      <c r="D16" s="7"/>
      <c r="E16" s="7"/>
      <c r="F16" s="7"/>
      <c r="G16" s="7"/>
      <c r="H16" s="7"/>
      <c r="I16" s="7"/>
      <c r="J16" s="7"/>
      <c r="K16" s="7"/>
      <c r="L16" s="7"/>
      <c r="M16" s="7"/>
      <c r="N16" s="7"/>
      <c r="O16" s="7"/>
      <c r="P16" s="7"/>
      <c r="Q16" s="7"/>
      <c r="R16" s="7"/>
      <c r="S16" s="7"/>
      <c r="T16" s="7"/>
      <c r="U16" s="7"/>
      <c r="V16" s="7"/>
      <c r="W16" s="7"/>
      <c r="X16" s="7"/>
      <c r="Y16" s="7"/>
      <c r="Z16" s="7"/>
    </row>
    <row r="17" ht="14.25" customHeight="1">
      <c r="A17" s="7"/>
      <c r="B17" s="7"/>
      <c r="C17" s="7"/>
      <c r="D17" s="7"/>
      <c r="E17" s="7"/>
      <c r="F17" s="7"/>
      <c r="G17" s="7"/>
      <c r="H17" s="7"/>
      <c r="I17" s="7"/>
      <c r="J17" s="7"/>
      <c r="K17" s="7"/>
      <c r="L17" s="7"/>
      <c r="M17" s="7"/>
      <c r="N17" s="7"/>
      <c r="O17" s="7"/>
      <c r="P17" s="7"/>
      <c r="Q17" s="7"/>
      <c r="R17" s="7"/>
      <c r="S17" s="7"/>
      <c r="T17" s="7"/>
      <c r="U17" s="7"/>
      <c r="V17" s="7"/>
      <c r="W17" s="7"/>
      <c r="X17" s="7"/>
      <c r="Y17" s="7"/>
      <c r="Z17" s="7"/>
    </row>
    <row r="18" ht="14.25" customHeight="1">
      <c r="A18" s="7"/>
      <c r="B18" s="7"/>
      <c r="C18" s="7"/>
      <c r="D18" s="7"/>
      <c r="E18" s="7"/>
      <c r="F18" s="7"/>
      <c r="G18" s="7"/>
      <c r="H18" s="7"/>
      <c r="I18" s="7"/>
      <c r="J18" s="7"/>
      <c r="K18" s="7"/>
      <c r="L18" s="7"/>
      <c r="M18" s="7"/>
      <c r="N18" s="7"/>
      <c r="O18" s="7"/>
      <c r="P18" s="7"/>
      <c r="Q18" s="7"/>
      <c r="R18" s="7"/>
      <c r="S18" s="7"/>
      <c r="T18" s="7"/>
      <c r="U18" s="7"/>
      <c r="V18" s="7"/>
      <c r="W18" s="7"/>
      <c r="X18" s="7"/>
      <c r="Y18" s="7"/>
      <c r="Z18" s="7"/>
    </row>
    <row r="19" ht="14.2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ht="14.2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ht="14.2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ht="14.2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ht="14.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ht="14.2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ht="14.2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ht="14.2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ht="14.2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4.2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4.2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ht="14.2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ht="14.2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ht="14.2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ht="14.2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ht="14.2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4.2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4.2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ht="14.2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4.2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4.2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ht="14.2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ht="14.2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4.2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4.2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ht="14.2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ht="14.2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ht="14.2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4.2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4.2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4.2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4.2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4.2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4.2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4.2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4.2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4.2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4.2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4.2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conditionalFormatting sqref="I3:I14">
    <cfRule type="expression" dxfId="1" priority="1">
      <formula>ISNUMBER(SEARCH("Conclu",I3))</formula>
    </cfRule>
  </conditionalFormatting>
  <conditionalFormatting sqref="I3:I14">
    <cfRule type="expression" dxfId="2" priority="2">
      <formula>ISNUMBER(SEARCH("Pendente",I3))</formula>
    </cfRule>
  </conditionalFormatting>
  <conditionalFormatting sqref="I3:I14">
    <cfRule type="expression" dxfId="3" priority="3">
      <formula>ISNUMBER(SEARCH("Em",I3))</formula>
    </cfRule>
  </conditionalFormatting>
  <conditionalFormatting sqref="I3:I14">
    <cfRule type="expression" dxfId="3" priority="4">
      <formula>ISNUMBER(SEARCH("Manuten",I3))</formula>
    </cfRule>
  </conditionalFormatting>
  <conditionalFormatting sqref="I3:I14">
    <cfRule type="expression" dxfId="3" priority="5">
      <formula>ISNUMBER(SEARCH("Desenvol",I3))</formula>
    </cfRule>
  </conditionalFormatting>
  <conditionalFormatting sqref="I3:I14">
    <cfRule type="expression" dxfId="4" priority="6">
      <formula>ISNUMBER(SEARCH("Estudo",I3))</formula>
    </cfRule>
  </conditionalFormatting>
  <conditionalFormatting sqref="I3:I14">
    <cfRule type="expression" dxfId="4" priority="7">
      <formula>ISNUMBER(SEARCH("Monitor",I3))</formula>
    </cfRule>
  </conditionalFormatting>
  <conditionalFormatting sqref="M3:M14">
    <cfRule type="expression" dxfId="5" priority="8">
      <formula>ISNUMBER(SEARCH("Nível 4",M3))</formula>
    </cfRule>
  </conditionalFormatting>
  <conditionalFormatting sqref="M3:M14">
    <cfRule type="expression" dxfId="6" priority="9">
      <formula>ISNUMBER(SEARCH("Nível 3",M3))</formula>
    </cfRule>
  </conditionalFormatting>
  <conditionalFormatting sqref="M3:M14">
    <cfRule type="expression" dxfId="7" priority="10">
      <formula>ISNUMBER(SEARCH("Nível 2",M3))</formula>
    </cfRule>
  </conditionalFormatting>
  <conditionalFormatting sqref="M3:M14">
    <cfRule type="expression" dxfId="8" priority="11">
      <formula>ISNUMBER(SEARCH("Nível 1",M3))</formula>
    </cfRule>
  </conditionalFormatting>
  <dataValidations>
    <dataValidation type="list" allowBlank="1" sqref="M3:M14">
      <formula1>Listas!$B$2:$B$5</formula1>
    </dataValidation>
    <dataValidation type="list" allowBlank="1" sqref="I3:I14">
      <formula1>Listas!$A$2:$A$10</formula1>
    </dataValidation>
  </dataValidations>
  <printOptions/>
  <pageMargins bottom="0.787401575" footer="0.0" header="0.0" left="0.511811024" right="0.511811024" top="0.7874015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12.0"/>
    <col customWidth="1" min="3" max="3" width="16.0"/>
    <col customWidth="1" min="4" max="4" width="12.0"/>
    <col customWidth="1" min="5" max="5" width="16.0"/>
    <col customWidth="1" min="6" max="6" width="12.0"/>
    <col customWidth="1" min="7" max="7" width="16.0"/>
    <col customWidth="1" min="8" max="8" width="12.0"/>
    <col customWidth="1" min="9" max="26" width="8.71"/>
  </cols>
  <sheetData>
    <row r="1" ht="31.5" customHeight="1">
      <c r="A1" s="1" t="s">
        <v>178</v>
      </c>
      <c r="B1" s="2"/>
      <c r="C1" s="2"/>
      <c r="D1" s="2"/>
      <c r="E1" s="2"/>
      <c r="F1" s="2"/>
      <c r="G1" s="2"/>
      <c r="H1" s="3"/>
    </row>
    <row r="2" ht="14.25" customHeight="1">
      <c r="A2" s="5" t="s">
        <v>179</v>
      </c>
      <c r="C2" s="5" t="s">
        <v>2</v>
      </c>
    </row>
    <row r="3" ht="14.25" customHeight="1"/>
    <row r="4" ht="14.25" customHeight="1">
      <c r="A4" s="44" t="s">
        <v>180</v>
      </c>
      <c r="B4" s="45"/>
      <c r="C4" s="44" t="s">
        <v>181</v>
      </c>
      <c r="D4" s="45"/>
      <c r="E4" s="44" t="s">
        <v>182</v>
      </c>
      <c r="F4" s="45"/>
      <c r="G4" s="44" t="s">
        <v>19</v>
      </c>
      <c r="H4" s="45"/>
    </row>
    <row r="5" ht="14.25" customHeight="1">
      <c r="A5" s="46">
        <f>Resumo!B10</f>
        <v>30</v>
      </c>
      <c r="B5" s="47"/>
      <c r="C5" s="46">
        <f>Resumo!B5</f>
        <v>15</v>
      </c>
      <c r="D5" s="47"/>
      <c r="E5" s="46">
        <f>SUM(Resumo!B6:Resumo!B9)</f>
        <v>15</v>
      </c>
      <c r="F5" s="47"/>
      <c r="G5" s="46">
        <f>SUM(Resumo!B9:Resumo!B9)</f>
        <v>3</v>
      </c>
      <c r="H5" s="47"/>
    </row>
    <row r="6" ht="14.25" customHeight="1">
      <c r="A6" s="48"/>
      <c r="B6" s="49"/>
      <c r="C6" s="48"/>
      <c r="D6" s="49"/>
      <c r="E6" s="48"/>
      <c r="F6" s="49"/>
      <c r="G6" s="48"/>
      <c r="H6" s="49"/>
    </row>
    <row r="7" ht="18.0" customHeight="1">
      <c r="A7" s="50"/>
      <c r="B7" s="51"/>
      <c r="C7" s="50"/>
      <c r="D7" s="51"/>
      <c r="E7" s="50"/>
      <c r="F7" s="51"/>
      <c r="G7" s="50"/>
      <c r="H7" s="51"/>
    </row>
    <row r="8" ht="18.0" customHeight="1"/>
    <row r="9" ht="14.25" customHeight="1">
      <c r="A9" s="52"/>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E5:F7"/>
    <mergeCell ref="G5:H7"/>
    <mergeCell ref="A1:H1"/>
    <mergeCell ref="A4:B4"/>
    <mergeCell ref="C4:D4"/>
    <mergeCell ref="E4:F4"/>
    <mergeCell ref="G4:H4"/>
    <mergeCell ref="A5:B7"/>
    <mergeCell ref="C5:D7"/>
    <mergeCell ref="A9:B10"/>
  </mergeCells>
  <hyperlinks>
    <hyperlink display="Acessos rápidos: Projetos | Resumo" location="Projetos!A1" ref="A2"/>
    <hyperlink display="Resumo" location="Resumo!A1" ref="C2"/>
  </hyperlink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38.14"/>
    <col customWidth="1" min="3" max="3" width="8.71"/>
    <col customWidth="1" min="4" max="4" width="20.57"/>
    <col customWidth="1" min="5" max="26" width="8.71"/>
  </cols>
  <sheetData>
    <row r="1" ht="30.0" customHeight="1">
      <c r="A1" s="1" t="s">
        <v>183</v>
      </c>
      <c r="B1" s="2"/>
      <c r="C1" s="2"/>
      <c r="D1" s="2"/>
      <c r="E1" s="2"/>
      <c r="F1" s="3"/>
    </row>
    <row r="2" ht="14.25" customHeight="1">
      <c r="A2" s="5" t="s">
        <v>184</v>
      </c>
      <c r="C2" s="5" t="s">
        <v>185</v>
      </c>
    </row>
    <row r="3" ht="14.25" customHeight="1"/>
    <row r="4" ht="14.25" customHeight="1">
      <c r="A4" s="53" t="s">
        <v>8</v>
      </c>
      <c r="B4" s="53" t="s">
        <v>186</v>
      </c>
    </row>
    <row r="5" ht="14.25" customHeight="1">
      <c r="A5" s="54" t="s">
        <v>41</v>
      </c>
      <c r="B5" s="55">
        <f>COUNTIF(Projetos!F6:F34,"*Concluído*")</f>
        <v>15</v>
      </c>
    </row>
    <row r="6" ht="14.25" customHeight="1">
      <c r="A6" s="54" t="s">
        <v>71</v>
      </c>
      <c r="B6" s="55">
        <f>COUNTIF(Projetos!F6:F34,"*Em Andamento*")</f>
        <v>2</v>
      </c>
    </row>
    <row r="7" ht="14.25" customHeight="1">
      <c r="A7" s="54" t="s">
        <v>54</v>
      </c>
      <c r="B7" s="55">
        <f>COUNTIF(Projetos!F6:F34,"*Planejamento*")</f>
        <v>9</v>
      </c>
    </row>
    <row r="8" ht="14.25" customHeight="1">
      <c r="A8" s="56" t="s">
        <v>187</v>
      </c>
      <c r="B8" s="55">
        <f>COUNTIF(Projetos!F6:F35,"*Em Desenvolvimento*")</f>
        <v>1</v>
      </c>
    </row>
    <row r="9" ht="14.25" customHeight="1">
      <c r="A9" s="54" t="s">
        <v>19</v>
      </c>
      <c r="B9" s="55">
        <f>COUNTIF(Projetos!F6:F34,"*Monitoramento*")</f>
        <v>3</v>
      </c>
    </row>
    <row r="10" ht="14.25" customHeight="1">
      <c r="A10" s="57" t="s">
        <v>188</v>
      </c>
      <c r="B10" s="58">
        <f>SUM(B5:B9)</f>
        <v>30</v>
      </c>
    </row>
    <row r="11" ht="14.25" customHeight="1"/>
    <row r="12" ht="14.25" customHeight="1">
      <c r="A12" s="53" t="s">
        <v>12</v>
      </c>
      <c r="B12" s="53" t="s">
        <v>186</v>
      </c>
    </row>
    <row r="13" ht="14.25" customHeight="1">
      <c r="A13" s="54" t="s">
        <v>23</v>
      </c>
      <c r="B13" s="55">
        <f>COUNTIF(Projetos!J6:J35,"*Nível 4*")</f>
        <v>21</v>
      </c>
    </row>
    <row r="14" ht="14.25" customHeight="1">
      <c r="A14" s="54" t="s">
        <v>60</v>
      </c>
      <c r="B14" s="55">
        <f>COUNTIF(Projetos!J6:J35,"*Nível 3*")</f>
        <v>6</v>
      </c>
    </row>
    <row r="15" ht="14.25" customHeight="1">
      <c r="A15" s="54" t="s">
        <v>189</v>
      </c>
      <c r="B15" s="55">
        <f>COUNTIF(Projetos!J6:J35,"*Nível 2*")</f>
        <v>0</v>
      </c>
    </row>
    <row r="16" ht="14.25" customHeight="1">
      <c r="A16" s="54" t="s">
        <v>65</v>
      </c>
      <c r="B16" s="55">
        <f>COUNTIF(Projetos!J6:J35,"*Nível 1*")</f>
        <v>3</v>
      </c>
    </row>
    <row r="17" ht="14.25" customHeight="1"/>
    <row r="18" ht="14.25" customHeight="1"/>
    <row r="19" ht="14.25" customHeight="1"/>
    <row r="20" ht="14.25" customHeight="1"/>
    <row r="21" ht="14.25" customHeight="1"/>
    <row r="22" ht="14.25" customHeight="1">
      <c r="A22" s="59" t="s">
        <v>23</v>
      </c>
      <c r="B22" s="60" t="s">
        <v>190</v>
      </c>
    </row>
    <row r="23" ht="14.25" customHeight="1">
      <c r="A23" s="59" t="s">
        <v>60</v>
      </c>
      <c r="B23" s="61" t="s">
        <v>191</v>
      </c>
    </row>
    <row r="24" ht="14.25" customHeight="1">
      <c r="A24" s="59" t="s">
        <v>189</v>
      </c>
      <c r="B24" s="62" t="s">
        <v>192</v>
      </c>
    </row>
    <row r="25" ht="14.25" customHeight="1">
      <c r="A25" s="59" t="s">
        <v>65</v>
      </c>
      <c r="B25" s="61" t="s">
        <v>193</v>
      </c>
    </row>
    <row r="26" ht="14.25" customHeight="1">
      <c r="C26" s="52"/>
      <c r="D26" s="52"/>
      <c r="E26" s="52"/>
      <c r="F26" s="52"/>
    </row>
    <row r="27" ht="14.25" customHeight="1">
      <c r="C27" s="52"/>
      <c r="D27" s="52"/>
      <c r="E27" s="52"/>
      <c r="F27" s="52"/>
    </row>
    <row r="28" ht="14.25" customHeight="1">
      <c r="C28" s="52"/>
      <c r="D28" s="52"/>
      <c r="E28" s="52"/>
      <c r="F28" s="52"/>
    </row>
    <row r="29" ht="14.25" customHeight="1">
      <c r="C29" s="52"/>
      <c r="D29" s="52"/>
      <c r="E29" s="52"/>
      <c r="F29" s="52"/>
    </row>
    <row r="30" ht="14.25" customHeight="1">
      <c r="C30" s="52"/>
      <c r="D30" s="52"/>
      <c r="E30" s="52"/>
      <c r="F30" s="52"/>
    </row>
    <row r="31" ht="14.25" customHeight="1">
      <c r="C31" s="52"/>
      <c r="D31" s="52"/>
      <c r="E31" s="52"/>
      <c r="F31" s="52"/>
    </row>
    <row r="32" ht="14.25" customHeight="1">
      <c r="C32" s="52"/>
      <c r="D32" s="52"/>
      <c r="E32" s="52"/>
      <c r="F32" s="52"/>
    </row>
    <row r="33" ht="14.25" customHeight="1">
      <c r="C33" s="52"/>
      <c r="D33" s="52"/>
      <c r="E33" s="52"/>
      <c r="F33" s="52"/>
    </row>
    <row r="34" ht="14.25" customHeight="1">
      <c r="C34" s="52"/>
      <c r="D34" s="52"/>
      <c r="E34" s="52"/>
      <c r="F34" s="52"/>
    </row>
    <row r="35" ht="14.25" customHeight="1">
      <c r="C35" s="52"/>
      <c r="D35" s="52"/>
      <c r="E35" s="52"/>
      <c r="F35" s="52"/>
    </row>
    <row r="36" ht="14.25" customHeight="1">
      <c r="C36" s="52"/>
      <c r="D36" s="52"/>
      <c r="E36" s="52"/>
      <c r="F36" s="52"/>
    </row>
    <row r="37" ht="14.25" customHeight="1">
      <c r="C37" s="52"/>
      <c r="D37" s="52"/>
      <c r="E37" s="52"/>
      <c r="F37" s="52"/>
    </row>
    <row r="38" ht="14.25" customHeight="1">
      <c r="C38" s="52"/>
      <c r="D38" s="52"/>
      <c r="E38" s="52"/>
      <c r="F38" s="52"/>
    </row>
    <row r="39" ht="14.25" customHeight="1">
      <c r="C39" s="52"/>
      <c r="D39" s="52"/>
      <c r="E39" s="52"/>
      <c r="F39" s="52"/>
    </row>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mergeCells count="1">
    <mergeCell ref="A1:F1"/>
  </mergeCells>
  <hyperlinks>
    <hyperlink display="Ir para: Painel | Projetos" location="Painel!A1" ref="A2"/>
    <hyperlink display="Projetos" location="Projetos!A1" ref="C2"/>
  </hyperlink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6.0"/>
    <col customWidth="1" min="3" max="26" width="8.71"/>
  </cols>
  <sheetData>
    <row r="1" ht="14.25" customHeight="1">
      <c r="A1" s="63" t="s">
        <v>194</v>
      </c>
      <c r="B1" s="63" t="s">
        <v>12</v>
      </c>
    </row>
    <row r="2" ht="14.25" customHeight="1">
      <c r="A2" s="64" t="s">
        <v>41</v>
      </c>
      <c r="B2" s="64" t="s">
        <v>23</v>
      </c>
    </row>
    <row r="3" ht="14.25" customHeight="1">
      <c r="A3" s="64" t="s">
        <v>71</v>
      </c>
      <c r="B3" s="64" t="s">
        <v>60</v>
      </c>
    </row>
    <row r="4" ht="14.25" customHeight="1">
      <c r="A4" s="64" t="s">
        <v>195</v>
      </c>
      <c r="B4" s="64" t="s">
        <v>189</v>
      </c>
    </row>
    <row r="5" ht="14.25" customHeight="1">
      <c r="A5" s="64" t="s">
        <v>175</v>
      </c>
      <c r="B5" s="64" t="s">
        <v>65</v>
      </c>
    </row>
    <row r="6" ht="14.25" customHeight="1">
      <c r="A6" s="64" t="s">
        <v>196</v>
      </c>
    </row>
    <row r="7" ht="14.25" customHeight="1">
      <c r="A7" s="64" t="s">
        <v>197</v>
      </c>
    </row>
    <row r="8" ht="14.25" customHeight="1">
      <c r="A8" s="64" t="s">
        <v>198</v>
      </c>
    </row>
    <row r="9" ht="14.25" customHeight="1">
      <c r="A9" s="64" t="s">
        <v>19</v>
      </c>
    </row>
    <row r="10" ht="14.25" customHeight="1">
      <c r="A10" s="64" t="s">
        <v>199</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2026-03-10T17:49:48Z</dcterms:created>
  <dc:creator>Addvalora Global Adjusters</dc:creator>
</cp:coreProperties>
</file>